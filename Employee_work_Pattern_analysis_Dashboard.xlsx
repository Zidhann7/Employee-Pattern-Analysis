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DELL\OneDrive\Documents\"/>
    </mc:Choice>
  </mc:AlternateContent>
  <xr:revisionPtr revIDLastSave="0" documentId="13_ncr:1_{7CE07DED-D067-43B4-AD86-01D35B4CCD5B}" xr6:coauthVersionLast="36" xr6:coauthVersionMax="36" xr10:uidLastSave="{00000000-0000-0000-0000-000000000000}"/>
  <bookViews>
    <workbookView xWindow="0" yWindow="0" windowWidth="20490" windowHeight="7425" activeTab="2" xr2:uid="{E1CB4AAD-83E1-4148-82AB-A9C4EA698305}"/>
  </bookViews>
  <sheets>
    <sheet name="Sheet4" sheetId="4" r:id="rId1"/>
    <sheet name="Sheet2" sheetId="2" r:id="rId2"/>
    <sheet name="Dashboard" sheetId="1" r:id="rId3"/>
  </sheets>
  <definedNames>
    <definedName name="_xlchart.v2.0" hidden="1">Sheet4!$C$9:$C$11</definedName>
    <definedName name="_xlchart.v2.1" hidden="1">Sheet4!$D$9:$D$11</definedName>
    <definedName name="ExternalData_1" localSheetId="1" hidden="1">Sheet2!$A$1:$O$51</definedName>
    <definedName name="Slicer_Department">#N/A</definedName>
    <definedName name="Slicer_Gender">#N/A</definedName>
    <definedName name="Slicer_Work_Mod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0" i="4" l="1"/>
  <c r="C11" i="4"/>
  <c r="C9" i="4"/>
  <c r="F25" i="4"/>
  <c r="F22" i="4"/>
  <c r="F23" i="4"/>
  <c r="F24" i="4"/>
  <c r="D10" i="4"/>
  <c r="F8" i="4"/>
  <c r="D9" i="4"/>
  <c r="G22" i="4"/>
  <c r="G23" i="4"/>
  <c r="G24" i="4"/>
  <c r="F11" i="4"/>
  <c r="F5" i="4"/>
  <c r="A5" i="4"/>
  <c r="G25" i="4"/>
  <c r="D1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BA8022-36BA-45C2-8478-16BECF8AB990}" keepAlive="1" name="Query - employee_work_pattern employee" description="Connection to the 'employee_work_pattern employee' query in the workbook." type="5" refreshedVersion="6" background="1" saveData="1">
    <dbPr connection="Provider=Microsoft.Mashup.OleDb.1;Data Source=$Workbook$;Location=employee_work_pattern employee;Extended Properties=&quot;&quot;" command="SELECT * FROM [employee_work_pattern employee]"/>
  </connection>
</connections>
</file>

<file path=xl/sharedStrings.xml><?xml version="1.0" encoding="utf-8"?>
<sst xmlns="http://schemas.openxmlformats.org/spreadsheetml/2006/main" count="356" uniqueCount="140">
  <si>
    <t>Employee_ID</t>
  </si>
  <si>
    <t>Name</t>
  </si>
  <si>
    <t>Department</t>
  </si>
  <si>
    <t>Age</t>
  </si>
  <si>
    <t>Gender</t>
  </si>
  <si>
    <t>Experience_Years</t>
  </si>
  <si>
    <t>Work_Mode</t>
  </si>
  <si>
    <t>Projects_Completed</t>
  </si>
  <si>
    <t>Avg_Daily_Hours</t>
  </si>
  <si>
    <t>Performance_Score</t>
  </si>
  <si>
    <t>Sick_Days</t>
  </si>
  <si>
    <t>Training_Hours</t>
  </si>
  <si>
    <t>Job_Satisfaction</t>
  </si>
  <si>
    <t>Productivity_Index</t>
  </si>
  <si>
    <t>Performance_Level</t>
  </si>
  <si>
    <t>E001</t>
  </si>
  <si>
    <t>Amit</t>
  </si>
  <si>
    <t>IT</t>
  </si>
  <si>
    <t>Male</t>
  </si>
  <si>
    <t>Remote</t>
  </si>
  <si>
    <t>High</t>
  </si>
  <si>
    <t>E002</t>
  </si>
  <si>
    <t>Sara</t>
  </si>
  <si>
    <t>HR</t>
  </si>
  <si>
    <t>Female</t>
  </si>
  <si>
    <t>Office</t>
  </si>
  <si>
    <t>Medium</t>
  </si>
  <si>
    <t>E003</t>
  </si>
  <si>
    <t>Rahul</t>
  </si>
  <si>
    <t>Finance</t>
  </si>
  <si>
    <t>Hybrid</t>
  </si>
  <si>
    <t>E004</t>
  </si>
  <si>
    <t>Priya</t>
  </si>
  <si>
    <t>E005</t>
  </si>
  <si>
    <t>John</t>
  </si>
  <si>
    <t>Marketing</t>
  </si>
  <si>
    <t>E006</t>
  </si>
  <si>
    <t>Anita</t>
  </si>
  <si>
    <t>E007</t>
  </si>
  <si>
    <t>Arjun</t>
  </si>
  <si>
    <t>E008</t>
  </si>
  <si>
    <t>Meera</t>
  </si>
  <si>
    <t>E009</t>
  </si>
  <si>
    <t>Kiran</t>
  </si>
  <si>
    <t>E010</t>
  </si>
  <si>
    <t>David</t>
  </si>
  <si>
    <t>E011</t>
  </si>
  <si>
    <t>Linda</t>
  </si>
  <si>
    <t>E012</t>
  </si>
  <si>
    <t>Ravi</t>
  </si>
  <si>
    <t>E013</t>
  </si>
  <si>
    <t>Nina</t>
  </si>
  <si>
    <t>E014</t>
  </si>
  <si>
    <t>Sunil</t>
  </si>
  <si>
    <t>E015</t>
  </si>
  <si>
    <t>Asha</t>
  </si>
  <si>
    <t>E016</t>
  </si>
  <si>
    <t>Karthik</t>
  </si>
  <si>
    <t>E017</t>
  </si>
  <si>
    <t>Divya</t>
  </si>
  <si>
    <t>E018</t>
  </si>
  <si>
    <t>Joseph</t>
  </si>
  <si>
    <t>E019</t>
  </si>
  <si>
    <t>Anu</t>
  </si>
  <si>
    <t>E020</t>
  </si>
  <si>
    <t>Varun</t>
  </si>
  <si>
    <t>E021</t>
  </si>
  <si>
    <t>Riya</t>
  </si>
  <si>
    <t>E022</t>
  </si>
  <si>
    <t>Manoj</t>
  </si>
  <si>
    <t>E023</t>
  </si>
  <si>
    <t>Neha</t>
  </si>
  <si>
    <t>Low</t>
  </si>
  <si>
    <t>E024</t>
  </si>
  <si>
    <t>Aravind</t>
  </si>
  <si>
    <t>E025</t>
  </si>
  <si>
    <t>Deepa</t>
  </si>
  <si>
    <t>E026</t>
  </si>
  <si>
    <t>Suresh</t>
  </si>
  <si>
    <t>E027</t>
  </si>
  <si>
    <t>Kavya</t>
  </si>
  <si>
    <t>E028</t>
  </si>
  <si>
    <t>Ajay</t>
  </si>
  <si>
    <t>E029</t>
  </si>
  <si>
    <t>Reshma</t>
  </si>
  <si>
    <t>E030</t>
  </si>
  <si>
    <t>Vikram</t>
  </si>
  <si>
    <t>E031</t>
  </si>
  <si>
    <t>Shyam</t>
  </si>
  <si>
    <t>E032</t>
  </si>
  <si>
    <t>Pooja</t>
  </si>
  <si>
    <t>E033</t>
  </si>
  <si>
    <t>Harish</t>
  </si>
  <si>
    <t>E034</t>
  </si>
  <si>
    <t>Anjali</t>
  </si>
  <si>
    <t>E035</t>
  </si>
  <si>
    <t>George</t>
  </si>
  <si>
    <t>E036</t>
  </si>
  <si>
    <t>Lakshmi</t>
  </si>
  <si>
    <t>E037</t>
  </si>
  <si>
    <t>Ajith</t>
  </si>
  <si>
    <t>E038</t>
  </si>
  <si>
    <t>Farah</t>
  </si>
  <si>
    <t>E039</t>
  </si>
  <si>
    <t>Manu</t>
  </si>
  <si>
    <t>E040</t>
  </si>
  <si>
    <t>Sneha</t>
  </si>
  <si>
    <t>E041</t>
  </si>
  <si>
    <t>Daniel</t>
  </si>
  <si>
    <t>E042</t>
  </si>
  <si>
    <t>Rohit</t>
  </si>
  <si>
    <t>E043</t>
  </si>
  <si>
    <t>Maya</t>
  </si>
  <si>
    <t>E044</t>
  </si>
  <si>
    <t>Nikhil</t>
  </si>
  <si>
    <t>E045</t>
  </si>
  <si>
    <t>Alina</t>
  </si>
  <si>
    <t>E046</t>
  </si>
  <si>
    <t>Prakash</t>
  </si>
  <si>
    <t>E047</t>
  </si>
  <si>
    <t>Tina</t>
  </si>
  <si>
    <t>E048</t>
  </si>
  <si>
    <t>Ramesh</t>
  </si>
  <si>
    <t>E049</t>
  </si>
  <si>
    <t>Sonia</t>
  </si>
  <si>
    <t>E050</t>
  </si>
  <si>
    <t>Abdul</t>
  </si>
  <si>
    <t>Row Labels</t>
  </si>
  <si>
    <t>Grand Total</t>
  </si>
  <si>
    <t>Count of Employee_ID</t>
  </si>
  <si>
    <t>Total Number Of employees</t>
  </si>
  <si>
    <t>Number of employees by working mood</t>
  </si>
  <si>
    <t>Employees By Department</t>
  </si>
  <si>
    <t>Average of Performance_Score</t>
  </si>
  <si>
    <t>Average Performance bby department</t>
  </si>
  <si>
    <t>Job Satisfication Distributed</t>
  </si>
  <si>
    <t>Sum of Productivity_Index</t>
  </si>
  <si>
    <t>Average of Avg_Daily_Hours</t>
  </si>
  <si>
    <t>Sum of Projects_Completed</t>
  </si>
  <si>
    <t>Top 5 Employee Productivity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</si>
</sst>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2" borderId="0" xfId="0" applyFill="1" applyAlignment="1">
      <alignment horizontal="left"/>
    </xf>
    <xf numFmtId="164" fontId="0" fillId="0" borderId="0" xfId="0" applyNumberFormat="1"/>
  </cellXfs>
  <cellStyles count="1">
    <cellStyle name="Normal" xfId="0" builtinId="0"/>
  </cellStyles>
  <dxfs count="23">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ont>
        <b/>
        <i val="0"/>
        <color theme="0"/>
      </font>
      <fill>
        <patternFill>
          <bgColor theme="1"/>
        </patternFill>
      </fill>
    </dxf>
    <dxf>
      <font>
        <color theme="1" tint="0.14996795556505021"/>
      </font>
      <fill>
        <patternFill>
          <bgColor theme="1" tint="0.24994659260841701"/>
        </patternFill>
      </fill>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ont>
        <b/>
        <i val="0"/>
        <sz val="12"/>
        <color theme="1" tint="0.34998626667073579"/>
      </font>
    </dxf>
    <dxf>
      <numFmt numFmtId="164" formatCode="0.0"/>
    </dxf>
  </dxfs>
  <tableStyles count="2" defaultTableStyle="TableStyleMedium2" defaultPivotStyle="PivotStyleLight16">
    <tableStyle name="Slicer Style 1" pivot="0" table="0" count="1" xr9:uid="{0B03A12A-2D73-4F53-9D5C-6E0B4C6D1773}">
      <tableStyleElement type="wholeTable" dxfId="21"/>
    </tableStyle>
    <tableStyle name="Slicer Style 2" pivot="0" table="0" count="7" xr9:uid="{BD9F8201-65F1-4A5C-A883-AD3FE9E3E7AB}">
      <tableStyleElement type="wholeTable" dxfId="9"/>
      <tableStyleElement type="headerRow" dxfId="8"/>
    </tableStyle>
  </tableStyles>
  <extLst>
    <ext xmlns:x14="http://schemas.microsoft.com/office/spreadsheetml/2009/9/main" uri="{46F421CA-312F-682f-3DD2-61675219B42D}">
      <x14:dxfs count="22">
        <dxf>
          <fill>
            <patternFill>
              <bgColor theme="0" tint="-0.499984740745262"/>
            </patternFill>
          </fill>
        </dxf>
        <dxf>
          <font>
            <b/>
            <i val="0"/>
            <sz val="12"/>
            <color theme="0"/>
          </font>
          <fill>
            <patternFill>
              <fgColor theme="1" tint="0.14996795556505021"/>
            </patternFill>
          </fill>
        </dxf>
        <dxf>
          <font>
            <b/>
            <i val="0"/>
            <sz val="14"/>
            <color theme="0"/>
            <name val="Calibri Light"/>
            <family val="2"/>
            <scheme val="major"/>
          </font>
          <fill>
            <patternFill>
              <fgColor theme="0" tint="-0.34998626667073579"/>
              <bgColor theme="0" tint="-0.499984740745262"/>
            </patternFill>
          </fill>
        </dxf>
        <dxf>
          <font>
            <b/>
            <i val="0"/>
            <sz val="12"/>
            <color theme="0"/>
          </font>
        </dxf>
        <dxf>
          <font>
            <color theme="0"/>
          </font>
          <fill>
            <patternFill>
              <bgColor theme="1" tint="4.9989318521683403E-2"/>
            </patternFill>
          </fill>
        </dxf>
        <dxf>
          <font>
            <b/>
            <i val="0"/>
            <sz val="12"/>
            <color theme="0"/>
          </font>
        </dxf>
        <dxf>
          <fill>
            <patternFill>
              <bgColor theme="0" tint="-0.499984740745262"/>
            </patternFill>
          </fill>
        </dxf>
        <dxf>
          <fill>
            <patternFill>
              <fgColor theme="1" tint="0.14996795556505021"/>
            </patternFill>
          </fill>
        </dxf>
        <dxf>
          <font>
            <b/>
            <i val="0"/>
            <sz val="14"/>
            <color theme="0"/>
            <name val="Calibri Light"/>
            <family val="2"/>
            <scheme val="major"/>
          </font>
          <fill>
            <patternFill>
              <fgColor theme="0" tint="-0.34998626667073579"/>
              <bgColor theme="0" tint="-0.499984740745262"/>
            </patternFill>
          </fill>
        </dxf>
        <dxf>
          <font>
            <color theme="0"/>
          </font>
          <fill>
            <patternFill>
              <bgColor theme="1" tint="4.9989318521683403E-2"/>
            </patternFill>
          </fill>
        </dxf>
        <dxf>
          <fill>
            <patternFill>
              <bgColor theme="0" tint="-0.499984740745262"/>
            </patternFill>
          </fill>
        </dxf>
        <dxf>
          <fill>
            <patternFill>
              <fgColor theme="1" tint="0.14996795556505021"/>
            </patternFill>
          </fill>
        </dxf>
        <dxf>
          <font>
            <b/>
            <i val="0"/>
            <sz val="14"/>
            <color theme="0"/>
            <name val="Calibri Light"/>
            <family val="2"/>
            <scheme val="major"/>
          </font>
          <fill>
            <patternFill>
              <fgColor theme="0" tint="-0.34998626667073579"/>
              <bgColor theme="0" tint="-0.499984740745262"/>
            </patternFill>
          </fill>
        </dxf>
        <dxf>
          <font>
            <color theme="0"/>
          </font>
          <fill>
            <patternFill>
              <bgColor theme="1" tint="4.9989318521683403E-2"/>
            </patternFill>
          </fill>
        </dxf>
        <dxf>
          <fill>
            <patternFill>
              <bgColor theme="0" tint="-0.499984740745262"/>
            </patternFill>
          </fill>
        </dxf>
        <dxf>
          <fill>
            <patternFill>
              <fgColor theme="1" tint="0.14996795556505021"/>
            </patternFill>
          </fill>
        </dxf>
        <dxf>
          <font>
            <b/>
            <i val="0"/>
            <sz val="14"/>
            <color theme="0"/>
            <name val="Calibri Light"/>
            <family val="2"/>
            <scheme val="major"/>
          </font>
          <fill>
            <patternFill>
              <fgColor theme="0" tint="-0.34998626667073579"/>
              <bgColor theme="0" tint="-0.499984740745262"/>
            </patternFill>
          </fill>
        </dxf>
        <dxf>
          <fill>
            <patternFill>
              <bgColor theme="1" tint="4.9989318521683403E-2"/>
            </patternFill>
          </fill>
        </dxf>
        <dxf>
          <fill>
            <patternFill>
              <bgColor theme="0" tint="-0.499984740745262"/>
            </patternFill>
          </fill>
        </dxf>
        <dxf>
          <fill>
            <patternFill>
              <bgColor theme="1" tint="0.24994659260841701"/>
            </patternFill>
          </fill>
        </dxf>
        <dxf>
          <fill>
            <patternFill>
              <fgColor theme="1" tint="0.14996795556505021"/>
            </patternFill>
          </fill>
        </dxf>
        <dxf>
          <font>
            <b/>
            <i val="0"/>
            <sz val="14"/>
            <color theme="0"/>
            <name val="Calibri Light"/>
            <family val="2"/>
            <scheme val="major"/>
          </font>
          <fill>
            <patternFill>
              <fgColor theme="0" tint="-0.34998626667073579"/>
              <bgColor theme="0" tint="-0.49998474074526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[Employee_work_Pattern_analysis.xlsx]Sheet4!PivotTable4</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Employees</a:t>
            </a:r>
            <a:r>
              <a:rPr lang="en-US" b="1" baseline="0">
                <a:solidFill>
                  <a:schemeClr val="bg1"/>
                </a:solidFill>
              </a:rPr>
              <a:t> By Department</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gradFill flip="none" rotWithShape="1">
            <a:gsLst>
              <a:gs pos="0">
                <a:schemeClr val="bg2">
                  <a:lumMod val="90000"/>
                </a:schemeClr>
              </a:gs>
              <a:gs pos="74000">
                <a:schemeClr val="bg2">
                  <a:lumMod val="50000"/>
                </a:schemeClr>
              </a:gs>
              <a:gs pos="100000">
                <a:schemeClr val="bg2">
                  <a:lumMod val="1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bg2">
                  <a:lumMod val="90000"/>
                </a:schemeClr>
              </a:gs>
              <a:gs pos="74000">
                <a:schemeClr val="bg2">
                  <a:lumMod val="50000"/>
                </a:schemeClr>
              </a:gs>
              <a:gs pos="100000">
                <a:schemeClr val="bg2">
                  <a:lumMod val="1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tx1">
                  <a:lumMod val="75000"/>
                  <a:lumOff val="25000"/>
                </a:schemeClr>
              </a:gs>
              <a:gs pos="74000">
                <a:schemeClr val="bg2">
                  <a:lumMod val="50000"/>
                </a:schemeClr>
              </a:gs>
              <a:gs pos="100000">
                <a:schemeClr val="bg1"/>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Sheet4!$B$10</c:f>
              <c:strCache>
                <c:ptCount val="1"/>
                <c:pt idx="0">
                  <c:v>Total</c:v>
                </c:pt>
              </c:strCache>
            </c:strRef>
          </c:tx>
          <c:spPr>
            <a:gradFill flip="none" rotWithShape="1">
              <a:gsLst>
                <a:gs pos="0">
                  <a:schemeClr val="tx1">
                    <a:lumMod val="75000"/>
                    <a:lumOff val="25000"/>
                  </a:schemeClr>
                </a:gs>
                <a:gs pos="74000">
                  <a:schemeClr val="bg2">
                    <a:lumMod val="50000"/>
                  </a:schemeClr>
                </a:gs>
                <a:gs pos="100000">
                  <a:schemeClr val="bg1"/>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Sheet4!$A$11:$A$15</c:f>
              <c:strCache>
                <c:ptCount val="4"/>
                <c:pt idx="0">
                  <c:v>IT</c:v>
                </c:pt>
                <c:pt idx="1">
                  <c:v>Marketing</c:v>
                </c:pt>
                <c:pt idx="2">
                  <c:v>Finance</c:v>
                </c:pt>
                <c:pt idx="3">
                  <c:v>HR</c:v>
                </c:pt>
              </c:strCache>
            </c:strRef>
          </c:cat>
          <c:val>
            <c:numRef>
              <c:f>Sheet4!$B$11:$B$15</c:f>
              <c:numCache>
                <c:formatCode>General</c:formatCode>
                <c:ptCount val="4"/>
                <c:pt idx="0">
                  <c:v>14</c:v>
                </c:pt>
                <c:pt idx="1">
                  <c:v>12</c:v>
                </c:pt>
                <c:pt idx="2">
                  <c:v>12</c:v>
                </c:pt>
                <c:pt idx="3">
                  <c:v>12</c:v>
                </c:pt>
              </c:numCache>
            </c:numRef>
          </c:val>
          <c:extLst>
            <c:ext xmlns:c16="http://schemas.microsoft.com/office/drawing/2014/chart" uri="{C3380CC4-5D6E-409C-BE32-E72D297353CC}">
              <c16:uniqueId val="{00000000-2BE4-4DD0-BECC-39EA15CD0F64}"/>
            </c:ext>
          </c:extLst>
        </c:ser>
        <c:dLbls>
          <c:showLegendKey val="0"/>
          <c:showVal val="0"/>
          <c:showCatName val="0"/>
          <c:showSerName val="0"/>
          <c:showPercent val="0"/>
          <c:showBubbleSize val="0"/>
        </c:dLbls>
        <c:gapWidth val="58"/>
        <c:overlap val="-27"/>
        <c:axId val="553695"/>
        <c:axId val="479068607"/>
      </c:barChart>
      <c:catAx>
        <c:axId val="55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479068607"/>
        <c:crosses val="autoZero"/>
        <c:auto val="1"/>
        <c:lblAlgn val="ctr"/>
        <c:lblOffset val="100"/>
        <c:noMultiLvlLbl val="0"/>
      </c:catAx>
      <c:valAx>
        <c:axId val="479068607"/>
        <c:scaling>
          <c:orientation val="minMax"/>
        </c:scaling>
        <c:delete val="1"/>
        <c:axPos val="l"/>
        <c:numFmt formatCode="General" sourceLinked="1"/>
        <c:majorTickMark val="none"/>
        <c:minorTickMark val="none"/>
        <c:tickLblPos val="nextTo"/>
        <c:crossAx val="553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[Employee_work_Pattern_analysis.xlsx]Sheet4!PivotTable7</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Top</a:t>
            </a:r>
            <a:r>
              <a:rPr lang="en-US" b="1" baseline="0">
                <a:solidFill>
                  <a:schemeClr val="bg1"/>
                </a:solidFill>
              </a:rPr>
              <a:t> 10 Employees Productivity</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tx1"/>
              </a:gs>
              <a:gs pos="74000">
                <a:schemeClr val="bg2">
                  <a:lumMod val="50000"/>
                </a:schemeClr>
              </a:gs>
              <a:gs pos="100000">
                <a:schemeClr val="bg1"/>
              </a:gs>
            </a:gsLst>
            <a:path path="circle">
              <a:fillToRect l="100000" t="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92728949421863"/>
          <c:y val="0.13327800829875522"/>
          <c:w val="0.8758534912865622"/>
          <c:h val="0.85012448132780083"/>
        </c:manualLayout>
      </c:layout>
      <c:barChart>
        <c:barDir val="bar"/>
        <c:grouping val="clustered"/>
        <c:varyColors val="0"/>
        <c:ser>
          <c:idx val="0"/>
          <c:order val="0"/>
          <c:tx>
            <c:strRef>
              <c:f>Sheet4!$E$31</c:f>
              <c:strCache>
                <c:ptCount val="1"/>
                <c:pt idx="0">
                  <c:v>Total</c:v>
                </c:pt>
              </c:strCache>
            </c:strRef>
          </c:tx>
          <c:spPr>
            <a:gradFill>
              <a:gsLst>
                <a:gs pos="0">
                  <a:schemeClr val="tx1"/>
                </a:gs>
                <a:gs pos="74000">
                  <a:schemeClr val="bg2">
                    <a:lumMod val="50000"/>
                  </a:schemeClr>
                </a:gs>
                <a:gs pos="100000">
                  <a:schemeClr val="bg1"/>
                </a:gs>
              </a:gsLst>
              <a:path path="circle">
                <a:fillToRect l="100000" t="10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Sheet4!$D$32:$D$37</c:f>
              <c:strCache>
                <c:ptCount val="5"/>
                <c:pt idx="0">
                  <c:v>George</c:v>
                </c:pt>
                <c:pt idx="1">
                  <c:v>John</c:v>
                </c:pt>
                <c:pt idx="2">
                  <c:v>Joseph</c:v>
                </c:pt>
                <c:pt idx="3">
                  <c:v>Prakash</c:v>
                </c:pt>
                <c:pt idx="4">
                  <c:v>Suresh</c:v>
                </c:pt>
              </c:strCache>
            </c:strRef>
          </c:cat>
          <c:val>
            <c:numRef>
              <c:f>Sheet4!$E$32:$E$37</c:f>
              <c:numCache>
                <c:formatCode>General</c:formatCode>
                <c:ptCount val="5"/>
                <c:pt idx="0">
                  <c:v>13.8</c:v>
                </c:pt>
                <c:pt idx="1">
                  <c:v>13.8</c:v>
                </c:pt>
                <c:pt idx="2">
                  <c:v>14.88</c:v>
                </c:pt>
                <c:pt idx="3">
                  <c:v>14.88</c:v>
                </c:pt>
                <c:pt idx="4">
                  <c:v>15.04</c:v>
                </c:pt>
              </c:numCache>
            </c:numRef>
          </c:val>
          <c:extLst>
            <c:ext xmlns:c16="http://schemas.microsoft.com/office/drawing/2014/chart" uri="{C3380CC4-5D6E-409C-BE32-E72D297353CC}">
              <c16:uniqueId val="{00000000-E455-4E5C-8C29-486470600CF8}"/>
            </c:ext>
          </c:extLst>
        </c:ser>
        <c:dLbls>
          <c:showLegendKey val="0"/>
          <c:showVal val="0"/>
          <c:showCatName val="0"/>
          <c:showSerName val="0"/>
          <c:showPercent val="0"/>
          <c:showBubbleSize val="0"/>
        </c:dLbls>
        <c:gapWidth val="96"/>
        <c:axId val="28300463"/>
        <c:axId val="599689103"/>
      </c:barChart>
      <c:catAx>
        <c:axId val="28300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599689103"/>
        <c:crosses val="autoZero"/>
        <c:auto val="1"/>
        <c:lblAlgn val="ctr"/>
        <c:lblOffset val="100"/>
        <c:noMultiLvlLbl val="0"/>
      </c:catAx>
      <c:valAx>
        <c:axId val="599689103"/>
        <c:scaling>
          <c:orientation val="minMax"/>
        </c:scaling>
        <c:delete val="1"/>
        <c:axPos val="b"/>
        <c:numFmt formatCode="General" sourceLinked="1"/>
        <c:majorTickMark val="none"/>
        <c:minorTickMark val="none"/>
        <c:tickLblPos val="nextTo"/>
        <c:crossAx val="28300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[Employee_work_Pattern_analysis.xlsx]Sheet4!PivotTable6</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Job</a:t>
            </a:r>
            <a:r>
              <a:rPr lang="en-US" b="1" baseline="0">
                <a:solidFill>
                  <a:schemeClr val="bg1"/>
                </a:solidFill>
              </a:rPr>
              <a:t> Staisfaction Distributed</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gradFill>
            <a:gsLst>
              <a:gs pos="0">
                <a:schemeClr val="bg2">
                  <a:lumMod val="25000"/>
                  <a:tint val="66000"/>
                  <a:satMod val="160000"/>
                </a:schemeClr>
              </a:gs>
              <a:gs pos="50000">
                <a:schemeClr val="bg2">
                  <a:lumMod val="25000"/>
                  <a:tint val="44500"/>
                  <a:satMod val="160000"/>
                </a:schemeClr>
              </a:gs>
              <a:gs pos="100000">
                <a:schemeClr val="bg2">
                  <a:lumMod val="25000"/>
                  <a:tint val="23500"/>
                  <a:satMod val="160000"/>
                </a:schemeClr>
              </a:gs>
            </a:gsLst>
            <a:path path="circle">
              <a:fillToRect l="100000" b="100000"/>
            </a:path>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w="19050">
            <a:solidFill>
              <a:schemeClr val="lt1"/>
            </a:solidFill>
          </a:ln>
          <a:effectLst/>
        </c:spPr>
      </c:pivotFmt>
      <c:pivotFmt>
        <c:idx val="2"/>
        <c:spPr>
          <a:solidFill>
            <a:schemeClr val="bg1">
              <a:lumMod val="75000"/>
            </a:schemeClr>
          </a:solidFill>
          <a:ln w="19050">
            <a:solidFill>
              <a:schemeClr val="lt1"/>
            </a:solidFill>
          </a:ln>
          <a:effectLst/>
        </c:spPr>
      </c:pivotFmt>
      <c:pivotFmt>
        <c:idx val="3"/>
        <c:spPr>
          <a:solidFill>
            <a:schemeClr val="tx1">
              <a:lumMod val="50000"/>
              <a:lumOff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95000"/>
              <a:lumOff val="5000"/>
            </a:schemeClr>
          </a:solidFill>
          <a:ln w="19050">
            <a:solidFill>
              <a:schemeClr val="lt1"/>
            </a:solidFill>
          </a:ln>
          <a:effectLst/>
        </c:spPr>
      </c:pivotFmt>
      <c:pivotFmt>
        <c:idx val="5"/>
        <c:spPr>
          <a:gradFill>
            <a:gsLst>
              <a:gs pos="0">
                <a:schemeClr val="bg2">
                  <a:lumMod val="25000"/>
                  <a:tint val="66000"/>
                  <a:satMod val="160000"/>
                </a:schemeClr>
              </a:gs>
              <a:gs pos="50000">
                <a:schemeClr val="bg2">
                  <a:lumMod val="25000"/>
                  <a:tint val="44500"/>
                  <a:satMod val="160000"/>
                </a:schemeClr>
              </a:gs>
              <a:gs pos="100000">
                <a:schemeClr val="bg2">
                  <a:lumMod val="25000"/>
                  <a:tint val="23500"/>
                  <a:satMod val="160000"/>
                </a:schemeClr>
              </a:gs>
            </a:gsLst>
            <a:path path="circle">
              <a:fillToRect l="100000" b="100000"/>
            </a:path>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w="19050">
            <a:solidFill>
              <a:schemeClr val="lt1"/>
            </a:solidFill>
          </a:ln>
          <a:effectLst/>
        </c:spPr>
      </c:pivotFmt>
      <c:pivotFmt>
        <c:idx val="7"/>
        <c:spPr>
          <a:solidFill>
            <a:schemeClr val="tx1">
              <a:lumMod val="50000"/>
              <a:lumOff val="50000"/>
            </a:schemeClr>
          </a:solidFill>
          <a:ln w="19050">
            <a:solidFill>
              <a:schemeClr val="lt1"/>
            </a:solidFill>
          </a:ln>
          <a:effectLst/>
        </c:spPr>
      </c:pivotFmt>
      <c:pivotFmt>
        <c:idx val="8"/>
        <c:spPr>
          <a:solidFill>
            <a:schemeClr val="tx1">
              <a:lumMod val="95000"/>
              <a:lumOff val="5000"/>
            </a:schemeClr>
          </a:solidFill>
          <a:ln w="19050">
            <a:solidFill>
              <a:schemeClr val="lt1"/>
            </a:solidFill>
          </a:ln>
          <a:effectLst/>
        </c:spPr>
      </c:pivotFmt>
      <c:pivotFmt>
        <c:idx val="9"/>
        <c:spPr>
          <a:solidFill>
            <a:schemeClr val="bg1"/>
          </a:solidFill>
          <a:ln w="19050">
            <a:solidFill>
              <a:schemeClr val="lt1"/>
            </a:solidFill>
          </a:ln>
          <a:effectLst/>
        </c:spPr>
      </c:pivotFmt>
      <c:pivotFmt>
        <c:idx val="10"/>
        <c:spPr>
          <a:gradFill>
            <a:gsLst>
              <a:gs pos="0">
                <a:schemeClr val="bg2">
                  <a:lumMod val="25000"/>
                  <a:tint val="66000"/>
                  <a:satMod val="160000"/>
                </a:schemeClr>
              </a:gs>
              <a:gs pos="50000">
                <a:schemeClr val="bg2">
                  <a:lumMod val="25000"/>
                  <a:tint val="44500"/>
                  <a:satMod val="160000"/>
                </a:schemeClr>
              </a:gs>
              <a:gs pos="100000">
                <a:schemeClr val="bg2">
                  <a:lumMod val="25000"/>
                  <a:tint val="23500"/>
                  <a:satMod val="160000"/>
                </a:schemeClr>
              </a:gs>
            </a:gsLst>
            <a:path path="circle">
              <a:fillToRect l="100000" b="100000"/>
            </a:path>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bg1">
              <a:lumMod val="75000"/>
            </a:schemeClr>
          </a:solidFill>
          <a:ln w="19050">
            <a:noFill/>
          </a:ln>
          <a:effectLst/>
        </c:spPr>
      </c:pivotFmt>
      <c:pivotFmt>
        <c:idx val="12"/>
        <c:spPr>
          <a:solidFill>
            <a:schemeClr val="tx1">
              <a:lumMod val="50000"/>
              <a:lumOff val="50000"/>
            </a:schemeClr>
          </a:solidFill>
          <a:ln w="19050">
            <a:noFill/>
          </a:ln>
          <a:effectLst/>
        </c:spPr>
      </c:pivotFmt>
      <c:pivotFmt>
        <c:idx val="13"/>
        <c:spPr>
          <a:solidFill>
            <a:schemeClr val="tx1">
              <a:lumMod val="95000"/>
              <a:lumOff val="5000"/>
            </a:schemeClr>
          </a:solidFill>
          <a:ln w="19050">
            <a:noFill/>
          </a:ln>
          <a:effectLst/>
        </c:spPr>
      </c:pivotFmt>
      <c:pivotFmt>
        <c:idx val="14"/>
        <c:spPr>
          <a:solidFill>
            <a:schemeClr val="bg1"/>
          </a:solidFill>
          <a:ln w="19050">
            <a:noFill/>
          </a:ln>
          <a:effectLst/>
        </c:spPr>
      </c:pivotFmt>
    </c:pivotFmts>
    <c:plotArea>
      <c:layout/>
      <c:pieChart>
        <c:varyColors val="1"/>
        <c:ser>
          <c:idx val="0"/>
          <c:order val="0"/>
          <c:tx>
            <c:strRef>
              <c:f>Sheet4!$B$18</c:f>
              <c:strCache>
                <c:ptCount val="1"/>
                <c:pt idx="0">
                  <c:v>Total</c:v>
                </c:pt>
              </c:strCache>
            </c:strRef>
          </c:tx>
          <c:spPr>
            <a:gradFill>
              <a:gsLst>
                <a:gs pos="0">
                  <a:schemeClr val="bg2">
                    <a:lumMod val="25000"/>
                    <a:tint val="66000"/>
                    <a:satMod val="160000"/>
                  </a:schemeClr>
                </a:gs>
                <a:gs pos="50000">
                  <a:schemeClr val="bg2">
                    <a:lumMod val="25000"/>
                    <a:tint val="44500"/>
                    <a:satMod val="160000"/>
                  </a:schemeClr>
                </a:gs>
                <a:gs pos="100000">
                  <a:schemeClr val="bg2">
                    <a:lumMod val="25000"/>
                    <a:tint val="23500"/>
                    <a:satMod val="160000"/>
                  </a:schemeClr>
                </a:gs>
              </a:gsLst>
              <a:path path="circle">
                <a:fillToRect l="100000" b="100000"/>
              </a:path>
            </a:gradFill>
            <a:ln>
              <a:noFill/>
            </a:ln>
          </c:spPr>
          <c:dPt>
            <c:idx val="0"/>
            <c:bubble3D val="0"/>
            <c:spPr>
              <a:solidFill>
                <a:schemeClr val="bg1">
                  <a:lumMod val="75000"/>
                </a:schemeClr>
              </a:solidFill>
              <a:ln w="19050">
                <a:noFill/>
              </a:ln>
              <a:effectLst/>
            </c:spPr>
            <c:extLst>
              <c:ext xmlns:c16="http://schemas.microsoft.com/office/drawing/2014/chart" uri="{C3380CC4-5D6E-409C-BE32-E72D297353CC}">
                <c16:uniqueId val="{00000001-EAAC-400E-B768-2BF0C5A5C695}"/>
              </c:ext>
            </c:extLst>
          </c:dPt>
          <c:dPt>
            <c:idx val="1"/>
            <c:bubble3D val="0"/>
            <c:spPr>
              <a:solidFill>
                <a:schemeClr val="tx1">
                  <a:lumMod val="50000"/>
                  <a:lumOff val="50000"/>
                </a:schemeClr>
              </a:solidFill>
              <a:ln w="19050">
                <a:noFill/>
              </a:ln>
              <a:effectLst/>
            </c:spPr>
            <c:extLst>
              <c:ext xmlns:c16="http://schemas.microsoft.com/office/drawing/2014/chart" uri="{C3380CC4-5D6E-409C-BE32-E72D297353CC}">
                <c16:uniqueId val="{00000003-EAAC-400E-B768-2BF0C5A5C695}"/>
              </c:ext>
            </c:extLst>
          </c:dPt>
          <c:dPt>
            <c:idx val="2"/>
            <c:bubble3D val="0"/>
            <c:spPr>
              <a:solidFill>
                <a:schemeClr val="tx1">
                  <a:lumMod val="95000"/>
                  <a:lumOff val="5000"/>
                </a:schemeClr>
              </a:solidFill>
              <a:ln w="19050">
                <a:noFill/>
              </a:ln>
              <a:effectLst/>
            </c:spPr>
            <c:extLst>
              <c:ext xmlns:c16="http://schemas.microsoft.com/office/drawing/2014/chart" uri="{C3380CC4-5D6E-409C-BE32-E72D297353CC}">
                <c16:uniqueId val="{00000005-EAAC-400E-B768-2BF0C5A5C695}"/>
              </c:ext>
            </c:extLst>
          </c:dPt>
          <c:dPt>
            <c:idx val="3"/>
            <c:bubble3D val="0"/>
            <c:spPr>
              <a:solidFill>
                <a:schemeClr val="bg1"/>
              </a:solidFill>
              <a:ln w="19050">
                <a:noFill/>
              </a:ln>
              <a:effectLst/>
            </c:spPr>
            <c:extLst>
              <c:ext xmlns:c16="http://schemas.microsoft.com/office/drawing/2014/chart" uri="{C3380CC4-5D6E-409C-BE32-E72D297353CC}">
                <c16:uniqueId val="{00000007-EAAC-400E-B768-2BF0C5A5C69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Sheet4!$A$19:$A$23</c:f>
              <c:strCache>
                <c:ptCount val="4"/>
                <c:pt idx="0">
                  <c:v>2</c:v>
                </c:pt>
                <c:pt idx="1">
                  <c:v>3</c:v>
                </c:pt>
                <c:pt idx="2">
                  <c:v>4</c:v>
                </c:pt>
                <c:pt idx="3">
                  <c:v>5</c:v>
                </c:pt>
              </c:strCache>
            </c:strRef>
          </c:cat>
          <c:val>
            <c:numRef>
              <c:f>Sheet4!$B$19:$B$23</c:f>
              <c:numCache>
                <c:formatCode>General</c:formatCode>
                <c:ptCount val="4"/>
                <c:pt idx="0">
                  <c:v>5</c:v>
                </c:pt>
                <c:pt idx="1">
                  <c:v>17</c:v>
                </c:pt>
                <c:pt idx="2">
                  <c:v>20</c:v>
                </c:pt>
                <c:pt idx="3">
                  <c:v>8</c:v>
                </c:pt>
              </c:numCache>
            </c:numRef>
          </c:val>
          <c:extLst>
            <c:ext xmlns:c16="http://schemas.microsoft.com/office/drawing/2014/chart" uri="{C3380CC4-5D6E-409C-BE32-E72D297353CC}">
              <c16:uniqueId val="{00000008-EAAC-400E-B768-2BF0C5A5C69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Average</a:t>
            </a:r>
            <a:r>
              <a:rPr lang="en-IN" b="1" baseline="0">
                <a:solidFill>
                  <a:schemeClr val="bg1"/>
                </a:solidFill>
              </a:rPr>
              <a:t> Performance By Department</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spPr>
            <a:gradFill>
              <a:gsLst>
                <a:gs pos="0">
                  <a:schemeClr val="tx1">
                    <a:lumMod val="85000"/>
                    <a:lumOff val="15000"/>
                  </a:schemeClr>
                </a:gs>
                <a:gs pos="74000">
                  <a:schemeClr val="bg2">
                    <a:lumMod val="50000"/>
                  </a:schemeClr>
                </a:gs>
                <a:gs pos="100000">
                  <a:schemeClr val="bg1"/>
                </a:gs>
              </a:gsLst>
              <a:path path="circle">
                <a:fillToRect l="100000" t="10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Sheet4!$F$22:$F$25</c:f>
              <c:strCache>
                <c:ptCount val="4"/>
                <c:pt idx="0">
                  <c:v>Finance</c:v>
                </c:pt>
                <c:pt idx="1">
                  <c:v>HR</c:v>
                </c:pt>
                <c:pt idx="2">
                  <c:v>IT</c:v>
                </c:pt>
                <c:pt idx="3">
                  <c:v>Marketing</c:v>
                </c:pt>
              </c:strCache>
            </c:strRef>
          </c:cat>
          <c:val>
            <c:numRef>
              <c:f>Sheet4!$G$22:$G$25</c:f>
              <c:numCache>
                <c:formatCode>0.0</c:formatCode>
                <c:ptCount val="4"/>
                <c:pt idx="0">
                  <c:v>83.166666666666671</c:v>
                </c:pt>
                <c:pt idx="1">
                  <c:v>79.166666666666671</c:v>
                </c:pt>
                <c:pt idx="2">
                  <c:v>87.357142857142861</c:v>
                </c:pt>
                <c:pt idx="3">
                  <c:v>83.36904761904762</c:v>
                </c:pt>
              </c:numCache>
            </c:numRef>
          </c:val>
          <c:extLst>
            <c:ext xmlns:c16="http://schemas.microsoft.com/office/drawing/2014/chart" uri="{C3380CC4-5D6E-409C-BE32-E72D297353CC}">
              <c16:uniqueId val="{00000000-AAF1-47FB-A804-046A9AB28BBC}"/>
            </c:ext>
          </c:extLst>
        </c:ser>
        <c:dLbls>
          <c:showLegendKey val="0"/>
          <c:showVal val="0"/>
          <c:showCatName val="0"/>
          <c:showSerName val="0"/>
          <c:showPercent val="0"/>
          <c:showBubbleSize val="0"/>
        </c:dLbls>
        <c:gapWidth val="105"/>
        <c:overlap val="-27"/>
        <c:axId val="30964255"/>
        <c:axId val="32254911"/>
      </c:barChart>
      <c:catAx>
        <c:axId val="3096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32254911"/>
        <c:crosses val="autoZero"/>
        <c:auto val="1"/>
        <c:lblAlgn val="ctr"/>
        <c:lblOffset val="100"/>
        <c:noMultiLvlLbl val="0"/>
      </c:catAx>
      <c:valAx>
        <c:axId val="32254911"/>
        <c:scaling>
          <c:orientation val="minMax"/>
        </c:scaling>
        <c:delete val="1"/>
        <c:axPos val="l"/>
        <c:numFmt formatCode="0.0" sourceLinked="1"/>
        <c:majorTickMark val="none"/>
        <c:minorTickMark val="none"/>
        <c:tickLblPos val="nextTo"/>
        <c:crossAx val="3096425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Employees By Working Mode</cx:v>
        </cx:txData>
      </cx:tx>
      <cx:txPr>
        <a:bodyPr spcFirstLastPara="1" vertOverflow="ellipsis" horzOverflow="overflow" wrap="square" lIns="0" tIns="0" rIns="0" bIns="0" anchor="ctr" anchorCtr="1"/>
        <a:lstStyle/>
        <a:p>
          <a:pPr algn="ctr" rtl="0">
            <a:defRPr b="1">
              <a:solidFill>
                <a:schemeClr val="bg1"/>
              </a:solidFill>
            </a:defRPr>
          </a:pPr>
          <a:r>
            <a:rPr lang="en-US" sz="1400" b="1" i="0" u="none" strike="noStrike" baseline="0">
              <a:solidFill>
                <a:schemeClr val="bg1"/>
              </a:solidFill>
              <a:latin typeface="Calibri" panose="020F0502020204030204"/>
            </a:rPr>
            <a:t>Employees By Working Mode</a:t>
          </a:r>
        </a:p>
      </cx:txPr>
    </cx:title>
    <cx:plotArea>
      <cx:plotAreaRegion>
        <cx:series layoutId="funnel" uniqueId="{91EDA917-CACD-4928-A950-EBCD310F9B9F}">
          <cx:spPr>
            <a:gradFill flip="none" rotWithShape="1">
              <a:gsLst>
                <a:gs pos="0">
                  <a:schemeClr val="bg1"/>
                </a:gs>
                <a:gs pos="74000">
                  <a:schemeClr val="tx1">
                    <a:lumMod val="75000"/>
                    <a:lumOff val="25000"/>
                  </a:schemeClr>
                </a:gs>
                <a:gs pos="100000">
                  <a:schemeClr val="tx1">
                    <a:lumMod val="95000"/>
                    <a:lumOff val="5000"/>
                  </a:schemeClr>
                </a:gs>
              </a:gsLst>
              <a:lin ang="2700000" scaled="1"/>
              <a:tileRect/>
            </a:gradFill>
          </cx:spPr>
          <cx:dataLabels>
            <cx:txPr>
              <a:bodyPr spcFirstLastPara="1" vertOverflow="ellipsis" horzOverflow="overflow" wrap="square" lIns="0" tIns="0" rIns="0" bIns="0" anchor="ctr" anchorCtr="1"/>
              <a:lstStyle/>
              <a:p>
                <a:pPr algn="ctr" rtl="0">
                  <a:defRPr sz="1100" b="1">
                    <a:solidFill>
                      <a:schemeClr val="bg1"/>
                    </a:solidFill>
                  </a:defRPr>
                </a:pPr>
                <a:endParaRPr lang="en-US" sz="11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933450</xdr:colOff>
      <xdr:row>6</xdr:row>
      <xdr:rowOff>19050</xdr:rowOff>
    </xdr:from>
    <xdr:to>
      <xdr:col>5</xdr:col>
      <xdr:colOff>1114425</xdr:colOff>
      <xdr:row>19</xdr:row>
      <xdr:rowOff>66675</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D98D9935-5E68-40EF-9B18-1DB349A282F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962525" y="1162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457200</xdr:colOff>
      <xdr:row>33</xdr:row>
      <xdr:rowOff>171450</xdr:rowOff>
    </xdr:to>
    <xdr:sp macro="" textlink="">
      <xdr:nvSpPr>
        <xdr:cNvPr id="2" name="Rectangle: Rounded Corners 1">
          <a:extLst>
            <a:ext uri="{FF2B5EF4-FFF2-40B4-BE49-F238E27FC236}">
              <a16:creationId xmlns:a16="http://schemas.microsoft.com/office/drawing/2014/main" id="{9DA2B287-B885-452E-9000-96C60E85E9DC}"/>
            </a:ext>
          </a:extLst>
        </xdr:cNvPr>
        <xdr:cNvSpPr/>
      </xdr:nvSpPr>
      <xdr:spPr>
        <a:xfrm>
          <a:off x="0" y="0"/>
          <a:ext cx="8991600" cy="6457950"/>
        </a:xfrm>
        <a:prstGeom prst="roundRect">
          <a:avLst>
            <a:gd name="adj" fmla="val 1990"/>
          </a:avLst>
        </a:prstGeom>
        <a:gradFill flip="none" rotWithShape="1">
          <a:gsLst>
            <a:gs pos="0">
              <a:schemeClr val="bg2">
                <a:lumMod val="25000"/>
                <a:tint val="66000"/>
                <a:satMod val="160000"/>
              </a:schemeClr>
            </a:gs>
            <a:gs pos="50000">
              <a:schemeClr val="bg2">
                <a:lumMod val="25000"/>
                <a:tint val="44500"/>
                <a:satMod val="160000"/>
              </a:schemeClr>
            </a:gs>
            <a:gs pos="100000">
              <a:schemeClr val="bg2">
                <a:lumMod val="25000"/>
                <a:tint val="23500"/>
                <a:satMod val="160000"/>
              </a:schemeClr>
            </a:gs>
          </a:gsLst>
          <a:path path="circle">
            <a:fillToRect l="100000" b="100000"/>
          </a:path>
          <a:tileRect t="-100000" r="-10000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123824</xdr:colOff>
      <xdr:row>0</xdr:row>
      <xdr:rowOff>95250</xdr:rowOff>
    </xdr:from>
    <xdr:to>
      <xdr:col>14</xdr:col>
      <xdr:colOff>361949</xdr:colOff>
      <xdr:row>2</xdr:row>
      <xdr:rowOff>161925</xdr:rowOff>
    </xdr:to>
    <xdr:sp macro="" textlink="">
      <xdr:nvSpPr>
        <xdr:cNvPr id="3" name="Rectangle: Rounded Corners 2">
          <a:extLst>
            <a:ext uri="{FF2B5EF4-FFF2-40B4-BE49-F238E27FC236}">
              <a16:creationId xmlns:a16="http://schemas.microsoft.com/office/drawing/2014/main" id="{F53CFE2B-A035-41A4-95D8-9127E9345581}"/>
            </a:ext>
          </a:extLst>
        </xdr:cNvPr>
        <xdr:cNvSpPr/>
      </xdr:nvSpPr>
      <xdr:spPr>
        <a:xfrm>
          <a:off x="123824" y="95250"/>
          <a:ext cx="8772525" cy="447675"/>
        </a:xfrm>
        <a:prstGeom prst="roundRect">
          <a:avLst/>
        </a:prstGeom>
        <a:gradFill flip="none" rotWithShape="1">
          <a:gsLst>
            <a:gs pos="0">
              <a:schemeClr val="bg2">
                <a:lumMod val="50000"/>
                <a:shade val="30000"/>
                <a:satMod val="115000"/>
              </a:schemeClr>
            </a:gs>
            <a:gs pos="50000">
              <a:schemeClr val="bg2">
                <a:lumMod val="50000"/>
                <a:shade val="67500"/>
                <a:satMod val="115000"/>
              </a:schemeClr>
            </a:gs>
            <a:gs pos="100000">
              <a:schemeClr val="bg1">
                <a:lumMod val="85000"/>
              </a:schemeClr>
            </a:gs>
          </a:gsLst>
          <a:path path="circle">
            <a:fillToRect l="100000" t="100000"/>
          </a:path>
          <a:tileRect r="-100000" b="-10000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104776</xdr:colOff>
      <xdr:row>8</xdr:row>
      <xdr:rowOff>19051</xdr:rowOff>
    </xdr:from>
    <xdr:to>
      <xdr:col>5</xdr:col>
      <xdr:colOff>209550</xdr:colOff>
      <xdr:row>20</xdr:row>
      <xdr:rowOff>57150</xdr:rowOff>
    </xdr:to>
    <xdr:sp macro="" textlink="">
      <xdr:nvSpPr>
        <xdr:cNvPr id="9" name="Rectangle: Rounded Corners 8">
          <a:extLst>
            <a:ext uri="{FF2B5EF4-FFF2-40B4-BE49-F238E27FC236}">
              <a16:creationId xmlns:a16="http://schemas.microsoft.com/office/drawing/2014/main" id="{F3E0CA76-C02C-48AE-8815-79151B100E89}"/>
            </a:ext>
          </a:extLst>
        </xdr:cNvPr>
        <xdr:cNvSpPr/>
      </xdr:nvSpPr>
      <xdr:spPr>
        <a:xfrm>
          <a:off x="104776" y="1543051"/>
          <a:ext cx="3152774" cy="2324099"/>
        </a:xfrm>
        <a:prstGeom prst="roundRect">
          <a:avLst>
            <a:gd name="adj" fmla="val 9490"/>
          </a:avLst>
        </a:prstGeom>
        <a:gradFill flip="none" rotWithShape="1">
          <a:gsLst>
            <a:gs pos="10000">
              <a:schemeClr val="bg2">
                <a:shade val="30000"/>
                <a:satMod val="115000"/>
                <a:lumMod val="0"/>
              </a:schemeClr>
            </a:gs>
            <a:gs pos="50000">
              <a:schemeClr val="bg2">
                <a:lumMod val="50000"/>
                <a:shade val="67500"/>
                <a:satMod val="115000"/>
              </a:schemeClr>
            </a:gs>
            <a:gs pos="100000">
              <a:schemeClr val="bg1">
                <a:lumMod val="85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371475</xdr:colOff>
      <xdr:row>8</xdr:row>
      <xdr:rowOff>28576</xdr:rowOff>
    </xdr:from>
    <xdr:to>
      <xdr:col>14</xdr:col>
      <xdr:colOff>276224</xdr:colOff>
      <xdr:row>20</xdr:row>
      <xdr:rowOff>57150</xdr:rowOff>
    </xdr:to>
    <xdr:sp macro="" textlink="">
      <xdr:nvSpPr>
        <xdr:cNvPr id="10" name="Rectangle: Rounded Corners 9">
          <a:extLst>
            <a:ext uri="{FF2B5EF4-FFF2-40B4-BE49-F238E27FC236}">
              <a16:creationId xmlns:a16="http://schemas.microsoft.com/office/drawing/2014/main" id="{A51839E4-A811-4C34-AE38-96191F7EFD34}"/>
            </a:ext>
          </a:extLst>
        </xdr:cNvPr>
        <xdr:cNvSpPr/>
      </xdr:nvSpPr>
      <xdr:spPr>
        <a:xfrm>
          <a:off x="3419475" y="1552576"/>
          <a:ext cx="5391149" cy="2314574"/>
        </a:xfrm>
        <a:prstGeom prst="roundRect">
          <a:avLst>
            <a:gd name="adj" fmla="val 9490"/>
          </a:avLst>
        </a:prstGeom>
        <a:gradFill flip="none" rotWithShape="1">
          <a:gsLst>
            <a:gs pos="10000">
              <a:schemeClr val="bg2">
                <a:shade val="30000"/>
                <a:satMod val="115000"/>
                <a:lumMod val="0"/>
              </a:schemeClr>
            </a:gs>
            <a:gs pos="50000">
              <a:schemeClr val="bg2">
                <a:lumMod val="50000"/>
                <a:shade val="67500"/>
                <a:satMod val="115000"/>
              </a:schemeClr>
            </a:gs>
            <a:gs pos="100000">
              <a:schemeClr val="bg1">
                <a:lumMod val="85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133351</xdr:colOff>
      <xdr:row>3</xdr:row>
      <xdr:rowOff>57151</xdr:rowOff>
    </xdr:from>
    <xdr:to>
      <xdr:col>2</xdr:col>
      <xdr:colOff>342900</xdr:colOff>
      <xdr:row>7</xdr:row>
      <xdr:rowOff>114301</xdr:rowOff>
    </xdr:to>
    <xdr:sp macro="" textlink="">
      <xdr:nvSpPr>
        <xdr:cNvPr id="11" name="Rectangle: Rounded Corners 10">
          <a:extLst>
            <a:ext uri="{FF2B5EF4-FFF2-40B4-BE49-F238E27FC236}">
              <a16:creationId xmlns:a16="http://schemas.microsoft.com/office/drawing/2014/main" id="{3CDCFCBA-B89A-4EF8-875D-254DAA2D1926}"/>
            </a:ext>
          </a:extLst>
        </xdr:cNvPr>
        <xdr:cNvSpPr/>
      </xdr:nvSpPr>
      <xdr:spPr>
        <a:xfrm>
          <a:off x="133351" y="628651"/>
          <a:ext cx="1428749" cy="819150"/>
        </a:xfrm>
        <a:prstGeom prst="roundRect">
          <a:avLst/>
        </a:prstGeom>
        <a:gradFill flip="none" rotWithShape="1">
          <a:gsLst>
            <a:gs pos="10000">
              <a:schemeClr val="bg2">
                <a:shade val="30000"/>
                <a:satMod val="115000"/>
                <a:lumMod val="0"/>
              </a:schemeClr>
            </a:gs>
            <a:gs pos="50000">
              <a:schemeClr val="bg2">
                <a:lumMod val="50000"/>
                <a:shade val="67500"/>
                <a:satMod val="115000"/>
              </a:schemeClr>
            </a:gs>
            <a:gs pos="100000">
              <a:schemeClr val="bg1">
                <a:lumMod val="85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428626</xdr:colOff>
      <xdr:row>3</xdr:row>
      <xdr:rowOff>38101</xdr:rowOff>
    </xdr:from>
    <xdr:to>
      <xdr:col>5</xdr:col>
      <xdr:colOff>28575</xdr:colOff>
      <xdr:row>7</xdr:row>
      <xdr:rowOff>95251</xdr:rowOff>
    </xdr:to>
    <xdr:sp macro="" textlink="">
      <xdr:nvSpPr>
        <xdr:cNvPr id="18" name="Rectangle: Rounded Corners 17">
          <a:extLst>
            <a:ext uri="{FF2B5EF4-FFF2-40B4-BE49-F238E27FC236}">
              <a16:creationId xmlns:a16="http://schemas.microsoft.com/office/drawing/2014/main" id="{1E057160-7B18-40DC-9A6A-CFF4583095BC}"/>
            </a:ext>
          </a:extLst>
        </xdr:cNvPr>
        <xdr:cNvSpPr/>
      </xdr:nvSpPr>
      <xdr:spPr>
        <a:xfrm>
          <a:off x="1647826" y="609601"/>
          <a:ext cx="1428749" cy="819150"/>
        </a:xfrm>
        <a:prstGeom prst="roundRect">
          <a:avLst/>
        </a:prstGeom>
        <a:gradFill flip="none" rotWithShape="1">
          <a:gsLst>
            <a:gs pos="10000">
              <a:schemeClr val="bg2">
                <a:shade val="30000"/>
                <a:satMod val="115000"/>
                <a:lumMod val="0"/>
              </a:schemeClr>
            </a:gs>
            <a:gs pos="50000">
              <a:schemeClr val="bg2">
                <a:lumMod val="50000"/>
                <a:shade val="67500"/>
                <a:satMod val="115000"/>
              </a:schemeClr>
            </a:gs>
            <a:gs pos="100000">
              <a:schemeClr val="bg1">
                <a:lumMod val="85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371476</xdr:colOff>
      <xdr:row>3</xdr:row>
      <xdr:rowOff>47626</xdr:rowOff>
    </xdr:from>
    <xdr:to>
      <xdr:col>9</xdr:col>
      <xdr:colOff>581025</xdr:colOff>
      <xdr:row>7</xdr:row>
      <xdr:rowOff>104776</xdr:rowOff>
    </xdr:to>
    <xdr:sp macro="" textlink="">
      <xdr:nvSpPr>
        <xdr:cNvPr id="19" name="Rectangle: Rounded Corners 18">
          <a:extLst>
            <a:ext uri="{FF2B5EF4-FFF2-40B4-BE49-F238E27FC236}">
              <a16:creationId xmlns:a16="http://schemas.microsoft.com/office/drawing/2014/main" id="{9D0ECC68-A02C-4849-8584-262D782756E9}"/>
            </a:ext>
          </a:extLst>
        </xdr:cNvPr>
        <xdr:cNvSpPr/>
      </xdr:nvSpPr>
      <xdr:spPr>
        <a:xfrm>
          <a:off x="4638676" y="619126"/>
          <a:ext cx="1428749" cy="819150"/>
        </a:xfrm>
        <a:prstGeom prst="roundRect">
          <a:avLst/>
        </a:prstGeom>
        <a:gradFill flip="none" rotWithShape="1">
          <a:gsLst>
            <a:gs pos="10000">
              <a:schemeClr val="bg2">
                <a:shade val="30000"/>
                <a:satMod val="115000"/>
                <a:lumMod val="0"/>
              </a:schemeClr>
            </a:gs>
            <a:gs pos="50000">
              <a:schemeClr val="bg2">
                <a:lumMod val="50000"/>
                <a:shade val="67500"/>
                <a:satMod val="115000"/>
              </a:schemeClr>
            </a:gs>
            <a:gs pos="100000">
              <a:schemeClr val="bg1">
                <a:lumMod val="85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95251</xdr:colOff>
      <xdr:row>3</xdr:row>
      <xdr:rowOff>47626</xdr:rowOff>
    </xdr:from>
    <xdr:to>
      <xdr:col>7</xdr:col>
      <xdr:colOff>304800</xdr:colOff>
      <xdr:row>7</xdr:row>
      <xdr:rowOff>104776</xdr:rowOff>
    </xdr:to>
    <xdr:sp macro="" textlink="">
      <xdr:nvSpPr>
        <xdr:cNvPr id="20" name="Rectangle: Rounded Corners 19">
          <a:extLst>
            <a:ext uri="{FF2B5EF4-FFF2-40B4-BE49-F238E27FC236}">
              <a16:creationId xmlns:a16="http://schemas.microsoft.com/office/drawing/2014/main" id="{FB603235-5860-40F2-97A7-C22C66D7B276}"/>
            </a:ext>
          </a:extLst>
        </xdr:cNvPr>
        <xdr:cNvSpPr/>
      </xdr:nvSpPr>
      <xdr:spPr>
        <a:xfrm>
          <a:off x="3143251" y="619126"/>
          <a:ext cx="1428749" cy="819150"/>
        </a:xfrm>
        <a:prstGeom prst="roundRect">
          <a:avLst/>
        </a:prstGeom>
        <a:gradFill flip="none" rotWithShape="1">
          <a:gsLst>
            <a:gs pos="10000">
              <a:schemeClr val="bg2">
                <a:shade val="30000"/>
                <a:satMod val="115000"/>
                <a:lumMod val="0"/>
              </a:schemeClr>
            </a:gs>
            <a:gs pos="50000">
              <a:schemeClr val="bg2">
                <a:lumMod val="50000"/>
                <a:shade val="67500"/>
                <a:satMod val="115000"/>
              </a:schemeClr>
            </a:gs>
            <a:gs pos="100000">
              <a:schemeClr val="bg1">
                <a:lumMod val="85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161926</xdr:colOff>
      <xdr:row>3</xdr:row>
      <xdr:rowOff>57151</xdr:rowOff>
    </xdr:from>
    <xdr:to>
      <xdr:col>2</xdr:col>
      <xdr:colOff>371475</xdr:colOff>
      <xdr:row>7</xdr:row>
      <xdr:rowOff>114301</xdr:rowOff>
    </xdr:to>
    <xdr:sp macro="" textlink="">
      <xdr:nvSpPr>
        <xdr:cNvPr id="21" name="Rectangle: Rounded Corners 20">
          <a:extLst>
            <a:ext uri="{FF2B5EF4-FFF2-40B4-BE49-F238E27FC236}">
              <a16:creationId xmlns:a16="http://schemas.microsoft.com/office/drawing/2014/main" id="{728EF8B5-E656-496A-92B4-83C9FA713E9B}"/>
            </a:ext>
          </a:extLst>
        </xdr:cNvPr>
        <xdr:cNvSpPr/>
      </xdr:nvSpPr>
      <xdr:spPr>
        <a:xfrm>
          <a:off x="161926" y="628651"/>
          <a:ext cx="1428749" cy="819150"/>
        </a:xfrm>
        <a:prstGeom prst="roundRect">
          <a:avLst/>
        </a:prstGeom>
        <a:gradFill flip="none" rotWithShape="1">
          <a:gsLst>
            <a:gs pos="10000">
              <a:schemeClr val="bg2">
                <a:shade val="30000"/>
                <a:satMod val="115000"/>
                <a:lumMod val="0"/>
              </a:schemeClr>
            </a:gs>
            <a:gs pos="50000">
              <a:schemeClr val="bg2">
                <a:lumMod val="50000"/>
                <a:shade val="67500"/>
                <a:satMod val="115000"/>
              </a:schemeClr>
            </a:gs>
            <a:gs pos="100000">
              <a:schemeClr val="bg1">
                <a:lumMod val="85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434976</xdr:colOff>
      <xdr:row>3</xdr:row>
      <xdr:rowOff>38101</xdr:rowOff>
    </xdr:from>
    <xdr:to>
      <xdr:col>5</xdr:col>
      <xdr:colOff>34925</xdr:colOff>
      <xdr:row>7</xdr:row>
      <xdr:rowOff>95251</xdr:rowOff>
    </xdr:to>
    <xdr:sp macro="" textlink="">
      <xdr:nvSpPr>
        <xdr:cNvPr id="22" name="Rectangle: Rounded Corners 21">
          <a:extLst>
            <a:ext uri="{FF2B5EF4-FFF2-40B4-BE49-F238E27FC236}">
              <a16:creationId xmlns:a16="http://schemas.microsoft.com/office/drawing/2014/main" id="{078AEE30-41D4-4BBD-BBDF-71F99F5371FC}"/>
            </a:ext>
          </a:extLst>
        </xdr:cNvPr>
        <xdr:cNvSpPr/>
      </xdr:nvSpPr>
      <xdr:spPr>
        <a:xfrm>
          <a:off x="1654176" y="609601"/>
          <a:ext cx="1428749" cy="819150"/>
        </a:xfrm>
        <a:prstGeom prst="roundRect">
          <a:avLst/>
        </a:prstGeom>
        <a:gradFill flip="none" rotWithShape="1">
          <a:gsLst>
            <a:gs pos="10000">
              <a:schemeClr val="bg2">
                <a:shade val="30000"/>
                <a:satMod val="115000"/>
                <a:lumMod val="0"/>
              </a:schemeClr>
            </a:gs>
            <a:gs pos="50000">
              <a:schemeClr val="bg2">
                <a:lumMod val="50000"/>
                <a:shade val="67500"/>
                <a:satMod val="115000"/>
              </a:schemeClr>
            </a:gs>
            <a:gs pos="100000">
              <a:schemeClr val="bg1">
                <a:lumMod val="85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98426</xdr:colOff>
      <xdr:row>3</xdr:row>
      <xdr:rowOff>47626</xdr:rowOff>
    </xdr:from>
    <xdr:to>
      <xdr:col>7</xdr:col>
      <xdr:colOff>307975</xdr:colOff>
      <xdr:row>7</xdr:row>
      <xdr:rowOff>104776</xdr:rowOff>
    </xdr:to>
    <xdr:sp macro="" textlink="">
      <xdr:nvSpPr>
        <xdr:cNvPr id="23" name="Rectangle: Rounded Corners 22">
          <a:extLst>
            <a:ext uri="{FF2B5EF4-FFF2-40B4-BE49-F238E27FC236}">
              <a16:creationId xmlns:a16="http://schemas.microsoft.com/office/drawing/2014/main" id="{EE3C511F-E759-4B21-BED8-2DB55FF43EBC}"/>
            </a:ext>
          </a:extLst>
        </xdr:cNvPr>
        <xdr:cNvSpPr/>
      </xdr:nvSpPr>
      <xdr:spPr>
        <a:xfrm>
          <a:off x="3146426" y="619126"/>
          <a:ext cx="1428749" cy="819150"/>
        </a:xfrm>
        <a:prstGeom prst="roundRect">
          <a:avLst/>
        </a:prstGeom>
        <a:gradFill flip="none" rotWithShape="1">
          <a:gsLst>
            <a:gs pos="10000">
              <a:schemeClr val="bg2">
                <a:shade val="30000"/>
                <a:satMod val="115000"/>
                <a:lumMod val="0"/>
              </a:schemeClr>
            </a:gs>
            <a:gs pos="50000">
              <a:schemeClr val="bg2">
                <a:lumMod val="50000"/>
                <a:shade val="67500"/>
                <a:satMod val="115000"/>
              </a:schemeClr>
            </a:gs>
            <a:gs pos="100000">
              <a:schemeClr val="bg1">
                <a:lumMod val="85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209552</xdr:colOff>
      <xdr:row>20</xdr:row>
      <xdr:rowOff>171450</xdr:rowOff>
    </xdr:from>
    <xdr:to>
      <xdr:col>9</xdr:col>
      <xdr:colOff>581026</xdr:colOff>
      <xdr:row>33</xdr:row>
      <xdr:rowOff>0</xdr:rowOff>
    </xdr:to>
    <xdr:sp macro="" textlink="">
      <xdr:nvSpPr>
        <xdr:cNvPr id="24" name="Rectangle: Rounded Corners 23">
          <a:extLst>
            <a:ext uri="{FF2B5EF4-FFF2-40B4-BE49-F238E27FC236}">
              <a16:creationId xmlns:a16="http://schemas.microsoft.com/office/drawing/2014/main" id="{733A167A-643F-48C3-A162-7D4641FE02D8}"/>
            </a:ext>
          </a:extLst>
        </xdr:cNvPr>
        <xdr:cNvSpPr/>
      </xdr:nvSpPr>
      <xdr:spPr>
        <a:xfrm>
          <a:off x="3867152" y="3981450"/>
          <a:ext cx="2200274" cy="2305050"/>
        </a:xfrm>
        <a:prstGeom prst="roundRect">
          <a:avLst>
            <a:gd name="adj" fmla="val 9490"/>
          </a:avLst>
        </a:prstGeom>
        <a:gradFill flip="none" rotWithShape="1">
          <a:gsLst>
            <a:gs pos="10000">
              <a:schemeClr val="bg2">
                <a:shade val="30000"/>
                <a:satMod val="115000"/>
                <a:lumMod val="0"/>
              </a:schemeClr>
            </a:gs>
            <a:gs pos="50000">
              <a:schemeClr val="bg2">
                <a:lumMod val="50000"/>
                <a:shade val="67500"/>
                <a:satMod val="115000"/>
              </a:schemeClr>
            </a:gs>
            <a:gs pos="100000">
              <a:schemeClr val="bg1">
                <a:lumMod val="85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133351</xdr:colOff>
      <xdr:row>20</xdr:row>
      <xdr:rowOff>171451</xdr:rowOff>
    </xdr:from>
    <xdr:to>
      <xdr:col>6</xdr:col>
      <xdr:colOff>142875</xdr:colOff>
      <xdr:row>33</xdr:row>
      <xdr:rowOff>47625</xdr:rowOff>
    </xdr:to>
    <xdr:sp macro="" textlink="">
      <xdr:nvSpPr>
        <xdr:cNvPr id="25" name="Rectangle: Rounded Corners 24">
          <a:extLst>
            <a:ext uri="{FF2B5EF4-FFF2-40B4-BE49-F238E27FC236}">
              <a16:creationId xmlns:a16="http://schemas.microsoft.com/office/drawing/2014/main" id="{868A11D7-5FA8-4D9C-8998-CEC9A7A1D16C}"/>
            </a:ext>
          </a:extLst>
        </xdr:cNvPr>
        <xdr:cNvSpPr/>
      </xdr:nvSpPr>
      <xdr:spPr>
        <a:xfrm>
          <a:off x="133351" y="3981451"/>
          <a:ext cx="3667124" cy="2352674"/>
        </a:xfrm>
        <a:prstGeom prst="roundRect">
          <a:avLst>
            <a:gd name="adj" fmla="val 9490"/>
          </a:avLst>
        </a:prstGeom>
        <a:gradFill flip="none" rotWithShape="1">
          <a:gsLst>
            <a:gs pos="10000">
              <a:schemeClr val="bg2">
                <a:shade val="30000"/>
                <a:satMod val="115000"/>
                <a:lumMod val="0"/>
              </a:schemeClr>
            </a:gs>
            <a:gs pos="50000">
              <a:schemeClr val="bg2">
                <a:lumMod val="50000"/>
                <a:shade val="67500"/>
                <a:satMod val="115000"/>
              </a:schemeClr>
            </a:gs>
            <a:gs pos="100000">
              <a:schemeClr val="bg1">
                <a:lumMod val="85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85726</xdr:colOff>
      <xdr:row>20</xdr:row>
      <xdr:rowOff>161926</xdr:rowOff>
    </xdr:from>
    <xdr:to>
      <xdr:col>14</xdr:col>
      <xdr:colOff>276226</xdr:colOff>
      <xdr:row>33</xdr:row>
      <xdr:rowOff>38100</xdr:rowOff>
    </xdr:to>
    <xdr:sp macro="" textlink="">
      <xdr:nvSpPr>
        <xdr:cNvPr id="26" name="Rectangle: Rounded Corners 25">
          <a:extLst>
            <a:ext uri="{FF2B5EF4-FFF2-40B4-BE49-F238E27FC236}">
              <a16:creationId xmlns:a16="http://schemas.microsoft.com/office/drawing/2014/main" id="{02673C81-2739-4F32-85E5-D5E1478C8855}"/>
            </a:ext>
          </a:extLst>
        </xdr:cNvPr>
        <xdr:cNvSpPr/>
      </xdr:nvSpPr>
      <xdr:spPr>
        <a:xfrm>
          <a:off x="6181726" y="3971926"/>
          <a:ext cx="2628900" cy="2352674"/>
        </a:xfrm>
        <a:prstGeom prst="roundRect">
          <a:avLst>
            <a:gd name="adj" fmla="val 9490"/>
          </a:avLst>
        </a:prstGeom>
        <a:gradFill flip="none" rotWithShape="1">
          <a:gsLst>
            <a:gs pos="10000">
              <a:schemeClr val="bg2">
                <a:shade val="30000"/>
                <a:satMod val="115000"/>
                <a:lumMod val="0"/>
              </a:schemeClr>
            </a:gs>
            <a:gs pos="50000">
              <a:schemeClr val="bg2">
                <a:lumMod val="50000"/>
                <a:shade val="67500"/>
                <a:satMod val="115000"/>
              </a:schemeClr>
            </a:gs>
            <a:gs pos="100000">
              <a:schemeClr val="bg1">
                <a:lumMod val="85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371475</xdr:colOff>
      <xdr:row>0</xdr:row>
      <xdr:rowOff>66675</xdr:rowOff>
    </xdr:from>
    <xdr:to>
      <xdr:col>11</xdr:col>
      <xdr:colOff>219075</xdr:colOff>
      <xdr:row>2</xdr:row>
      <xdr:rowOff>171451</xdr:rowOff>
    </xdr:to>
    <xdr:sp macro="" textlink="">
      <xdr:nvSpPr>
        <xdr:cNvPr id="27" name="TextBox 26">
          <a:extLst>
            <a:ext uri="{FF2B5EF4-FFF2-40B4-BE49-F238E27FC236}">
              <a16:creationId xmlns:a16="http://schemas.microsoft.com/office/drawing/2014/main" id="{65EB26DC-029C-45DB-9429-1AAF98974B2F}"/>
            </a:ext>
          </a:extLst>
        </xdr:cNvPr>
        <xdr:cNvSpPr txBox="1"/>
      </xdr:nvSpPr>
      <xdr:spPr>
        <a:xfrm>
          <a:off x="2200275" y="66675"/>
          <a:ext cx="4724400" cy="485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rPr>
            <a:t>Employee Work Pattern Analysis</a:t>
          </a:r>
        </a:p>
      </xdr:txBody>
    </xdr:sp>
    <xdr:clientData/>
  </xdr:twoCellAnchor>
  <xdr:twoCellAnchor>
    <xdr:from>
      <xdr:col>0</xdr:col>
      <xdr:colOff>85724</xdr:colOff>
      <xdr:row>3</xdr:row>
      <xdr:rowOff>95251</xdr:rowOff>
    </xdr:from>
    <xdr:to>
      <xdr:col>2</xdr:col>
      <xdr:colOff>457199</xdr:colOff>
      <xdr:row>5</xdr:row>
      <xdr:rowOff>38101</xdr:rowOff>
    </xdr:to>
    <xdr:sp macro="" textlink="">
      <xdr:nvSpPr>
        <xdr:cNvPr id="28" name="TextBox 27">
          <a:extLst>
            <a:ext uri="{FF2B5EF4-FFF2-40B4-BE49-F238E27FC236}">
              <a16:creationId xmlns:a16="http://schemas.microsoft.com/office/drawing/2014/main" id="{B8CEB50A-D6C6-41CD-9A25-9B170BA403AE}"/>
            </a:ext>
          </a:extLst>
        </xdr:cNvPr>
        <xdr:cNvSpPr txBox="1"/>
      </xdr:nvSpPr>
      <xdr:spPr>
        <a:xfrm>
          <a:off x="85724" y="666751"/>
          <a:ext cx="15906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Total No</a:t>
          </a:r>
          <a:r>
            <a:rPr lang="en-IN" sz="1200" b="1" baseline="0">
              <a:solidFill>
                <a:schemeClr val="bg1"/>
              </a:solidFill>
            </a:rPr>
            <a:t> of Employee</a:t>
          </a:r>
          <a:endParaRPr lang="en-IN" sz="1200" b="1">
            <a:solidFill>
              <a:schemeClr val="bg1"/>
            </a:solidFill>
          </a:endParaRPr>
        </a:p>
      </xdr:txBody>
    </xdr:sp>
    <xdr:clientData/>
  </xdr:twoCellAnchor>
  <xdr:twoCellAnchor>
    <xdr:from>
      <xdr:col>7</xdr:col>
      <xdr:colOff>333374</xdr:colOff>
      <xdr:row>3</xdr:row>
      <xdr:rowOff>66675</xdr:rowOff>
    </xdr:from>
    <xdr:to>
      <xdr:col>10</xdr:col>
      <xdr:colOff>95249</xdr:colOff>
      <xdr:row>5</xdr:row>
      <xdr:rowOff>180974</xdr:rowOff>
    </xdr:to>
    <xdr:sp macro="" textlink="">
      <xdr:nvSpPr>
        <xdr:cNvPr id="32" name="TextBox 31">
          <a:extLst>
            <a:ext uri="{FF2B5EF4-FFF2-40B4-BE49-F238E27FC236}">
              <a16:creationId xmlns:a16="http://schemas.microsoft.com/office/drawing/2014/main" id="{8D8D1C0D-4516-4A90-A210-FE5F3E43F92C}"/>
            </a:ext>
          </a:extLst>
        </xdr:cNvPr>
        <xdr:cNvSpPr txBox="1"/>
      </xdr:nvSpPr>
      <xdr:spPr>
        <a:xfrm>
          <a:off x="4600574" y="638175"/>
          <a:ext cx="1590675" cy="495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solidFill>
            </a:rPr>
            <a:t>Total</a:t>
          </a:r>
          <a:r>
            <a:rPr lang="en-IN" sz="1200" b="1" baseline="0">
              <a:solidFill>
                <a:schemeClr val="bg1"/>
              </a:solidFill>
            </a:rPr>
            <a:t> Project Completed</a:t>
          </a:r>
          <a:endParaRPr lang="en-IN" sz="1200" b="1">
            <a:solidFill>
              <a:schemeClr val="bg1"/>
            </a:solidFill>
          </a:endParaRPr>
        </a:p>
      </xdr:txBody>
    </xdr:sp>
    <xdr:clientData/>
  </xdr:twoCellAnchor>
  <xdr:twoCellAnchor>
    <xdr:from>
      <xdr:col>5</xdr:col>
      <xdr:colOff>47624</xdr:colOff>
      <xdr:row>3</xdr:row>
      <xdr:rowOff>57151</xdr:rowOff>
    </xdr:from>
    <xdr:to>
      <xdr:col>7</xdr:col>
      <xdr:colOff>419099</xdr:colOff>
      <xdr:row>5</xdr:row>
      <xdr:rowOff>1</xdr:rowOff>
    </xdr:to>
    <xdr:sp macro="" textlink="">
      <xdr:nvSpPr>
        <xdr:cNvPr id="33" name="TextBox 32">
          <a:extLst>
            <a:ext uri="{FF2B5EF4-FFF2-40B4-BE49-F238E27FC236}">
              <a16:creationId xmlns:a16="http://schemas.microsoft.com/office/drawing/2014/main" id="{BB0A17AF-BDF0-4F4C-8BA4-9576D3B9F81C}"/>
            </a:ext>
          </a:extLst>
        </xdr:cNvPr>
        <xdr:cNvSpPr txBox="1"/>
      </xdr:nvSpPr>
      <xdr:spPr>
        <a:xfrm>
          <a:off x="3095624" y="628651"/>
          <a:ext cx="15906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baseline="0">
              <a:solidFill>
                <a:schemeClr val="bg1"/>
              </a:solidFill>
            </a:rPr>
            <a:t>Avg Daily Hours</a:t>
          </a:r>
          <a:endParaRPr lang="en-IN" sz="1200" b="1">
            <a:solidFill>
              <a:schemeClr val="bg1"/>
            </a:solidFill>
          </a:endParaRPr>
        </a:p>
      </xdr:txBody>
    </xdr:sp>
    <xdr:clientData/>
  </xdr:twoCellAnchor>
  <xdr:twoCellAnchor>
    <xdr:from>
      <xdr:col>2</xdr:col>
      <xdr:colOff>371474</xdr:colOff>
      <xdr:row>3</xdr:row>
      <xdr:rowOff>57150</xdr:rowOff>
    </xdr:from>
    <xdr:to>
      <xdr:col>5</xdr:col>
      <xdr:colOff>133349</xdr:colOff>
      <xdr:row>5</xdr:row>
      <xdr:rowOff>190499</xdr:rowOff>
    </xdr:to>
    <xdr:sp macro="" textlink="">
      <xdr:nvSpPr>
        <xdr:cNvPr id="34" name="TextBox 33">
          <a:extLst>
            <a:ext uri="{FF2B5EF4-FFF2-40B4-BE49-F238E27FC236}">
              <a16:creationId xmlns:a16="http://schemas.microsoft.com/office/drawing/2014/main" id="{1423997D-76E0-4683-AF65-ADDC0A282413}"/>
            </a:ext>
          </a:extLst>
        </xdr:cNvPr>
        <xdr:cNvSpPr txBox="1"/>
      </xdr:nvSpPr>
      <xdr:spPr>
        <a:xfrm>
          <a:off x="1590674" y="628650"/>
          <a:ext cx="1590675" cy="514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solidFill>
            </a:rPr>
            <a:t>Avg</a:t>
          </a:r>
          <a:r>
            <a:rPr lang="en-IN" sz="1200" b="1" baseline="0">
              <a:solidFill>
                <a:schemeClr val="bg1"/>
              </a:solidFill>
            </a:rPr>
            <a:t> Performance Score</a:t>
          </a:r>
          <a:endParaRPr lang="en-IN" sz="1200" b="1">
            <a:solidFill>
              <a:schemeClr val="bg1"/>
            </a:solidFill>
          </a:endParaRPr>
        </a:p>
      </xdr:txBody>
    </xdr:sp>
    <xdr:clientData/>
  </xdr:twoCellAnchor>
  <xdr:twoCellAnchor>
    <xdr:from>
      <xdr:col>0</xdr:col>
      <xdr:colOff>247649</xdr:colOff>
      <xdr:row>5</xdr:row>
      <xdr:rowOff>95249</xdr:rowOff>
    </xdr:from>
    <xdr:to>
      <xdr:col>2</xdr:col>
      <xdr:colOff>200024</xdr:colOff>
      <xdr:row>7</xdr:row>
      <xdr:rowOff>85724</xdr:rowOff>
    </xdr:to>
    <xdr:sp macro="" textlink="Sheet4!A5">
      <xdr:nvSpPr>
        <xdr:cNvPr id="4" name="TextBox 3">
          <a:extLst>
            <a:ext uri="{FF2B5EF4-FFF2-40B4-BE49-F238E27FC236}">
              <a16:creationId xmlns:a16="http://schemas.microsoft.com/office/drawing/2014/main" id="{CC073420-DC19-4415-AA2B-CC0A70A9475D}"/>
            </a:ext>
          </a:extLst>
        </xdr:cNvPr>
        <xdr:cNvSpPr txBox="1"/>
      </xdr:nvSpPr>
      <xdr:spPr>
        <a:xfrm>
          <a:off x="247649" y="1047749"/>
          <a:ext cx="11715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4F605E6-95DF-4137-B732-D60FCCD608F4}" type="TxLink">
            <a:rPr lang="en-US" sz="2000" b="1" i="0" u="none" strike="noStrike">
              <a:solidFill>
                <a:schemeClr val="bg1"/>
              </a:solidFill>
              <a:latin typeface="Calibri"/>
              <a:ea typeface="Calibri"/>
              <a:cs typeface="Calibri"/>
            </a:rPr>
            <a:pPr algn="ctr"/>
            <a:t>50</a:t>
          </a:fld>
          <a:endParaRPr lang="en-IN" sz="2000" b="1">
            <a:solidFill>
              <a:schemeClr val="bg1"/>
            </a:solidFill>
          </a:endParaRPr>
        </a:p>
      </xdr:txBody>
    </xdr:sp>
    <xdr:clientData/>
  </xdr:twoCellAnchor>
  <xdr:twoCellAnchor>
    <xdr:from>
      <xdr:col>7</xdr:col>
      <xdr:colOff>514349</xdr:colOff>
      <xdr:row>5</xdr:row>
      <xdr:rowOff>66674</xdr:rowOff>
    </xdr:from>
    <xdr:to>
      <xdr:col>9</xdr:col>
      <xdr:colOff>466724</xdr:colOff>
      <xdr:row>7</xdr:row>
      <xdr:rowOff>57149</xdr:rowOff>
    </xdr:to>
    <xdr:sp macro="" textlink="">
      <xdr:nvSpPr>
        <xdr:cNvPr id="29" name="TextBox 28">
          <a:extLst>
            <a:ext uri="{FF2B5EF4-FFF2-40B4-BE49-F238E27FC236}">
              <a16:creationId xmlns:a16="http://schemas.microsoft.com/office/drawing/2014/main" id="{2009F0F9-6752-4899-A56D-3024E458DFB6}"/>
            </a:ext>
          </a:extLst>
        </xdr:cNvPr>
        <xdr:cNvSpPr txBox="1"/>
      </xdr:nvSpPr>
      <xdr:spPr>
        <a:xfrm>
          <a:off x="4781549" y="1019174"/>
          <a:ext cx="11715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523.5</a:t>
          </a:r>
          <a:endParaRPr lang="en-US" b="1">
            <a:solidFill>
              <a:schemeClr val="bg1"/>
            </a:solidFill>
          </a:endParaRPr>
        </a:p>
      </xdr:txBody>
    </xdr:sp>
    <xdr:clientData/>
  </xdr:twoCellAnchor>
  <xdr:twoCellAnchor>
    <xdr:from>
      <xdr:col>2</xdr:col>
      <xdr:colOff>539749</xdr:colOff>
      <xdr:row>5</xdr:row>
      <xdr:rowOff>66674</xdr:rowOff>
    </xdr:from>
    <xdr:to>
      <xdr:col>4</xdr:col>
      <xdr:colOff>492124</xdr:colOff>
      <xdr:row>7</xdr:row>
      <xdr:rowOff>57149</xdr:rowOff>
    </xdr:to>
    <xdr:sp macro="" textlink="Sheet4!F5">
      <xdr:nvSpPr>
        <xdr:cNvPr id="30" name="TextBox 29">
          <a:extLst>
            <a:ext uri="{FF2B5EF4-FFF2-40B4-BE49-F238E27FC236}">
              <a16:creationId xmlns:a16="http://schemas.microsoft.com/office/drawing/2014/main" id="{2DD07925-41E3-4187-ABD0-76200779FB25}"/>
            </a:ext>
          </a:extLst>
        </xdr:cNvPr>
        <xdr:cNvSpPr txBox="1"/>
      </xdr:nvSpPr>
      <xdr:spPr>
        <a:xfrm>
          <a:off x="1758949" y="1019174"/>
          <a:ext cx="11715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7F90E02-FC1F-43BC-B3B9-19F5B7A45A8A}" type="TxLink">
            <a:rPr lang="en-US" sz="2000" b="1" i="0" u="none" strike="noStrike">
              <a:solidFill>
                <a:schemeClr val="bg1"/>
              </a:solidFill>
              <a:latin typeface="Calibri"/>
              <a:ea typeface="Calibri"/>
              <a:cs typeface="Calibri"/>
            </a:rPr>
            <a:pPr algn="ctr"/>
            <a:t>83.4</a:t>
          </a:fld>
          <a:endParaRPr lang="en-US" sz="4000" b="1" i="0" u="none" strike="noStrike">
            <a:solidFill>
              <a:schemeClr val="bg1"/>
            </a:solidFill>
            <a:latin typeface="Calibri"/>
            <a:ea typeface="Calibri"/>
            <a:cs typeface="Calibri"/>
          </a:endParaRPr>
        </a:p>
      </xdr:txBody>
    </xdr:sp>
    <xdr:clientData/>
  </xdr:twoCellAnchor>
  <xdr:twoCellAnchor>
    <xdr:from>
      <xdr:col>5</xdr:col>
      <xdr:colOff>222249</xdr:colOff>
      <xdr:row>5</xdr:row>
      <xdr:rowOff>57149</xdr:rowOff>
    </xdr:from>
    <xdr:to>
      <xdr:col>7</xdr:col>
      <xdr:colOff>174624</xdr:colOff>
      <xdr:row>7</xdr:row>
      <xdr:rowOff>47624</xdr:rowOff>
    </xdr:to>
    <xdr:sp macro="" textlink="Sheet4!F8">
      <xdr:nvSpPr>
        <xdr:cNvPr id="31" name="TextBox 30">
          <a:extLst>
            <a:ext uri="{FF2B5EF4-FFF2-40B4-BE49-F238E27FC236}">
              <a16:creationId xmlns:a16="http://schemas.microsoft.com/office/drawing/2014/main" id="{11375FCF-6334-4921-86D3-7B22074F4052}"/>
            </a:ext>
          </a:extLst>
        </xdr:cNvPr>
        <xdr:cNvSpPr txBox="1"/>
      </xdr:nvSpPr>
      <xdr:spPr>
        <a:xfrm>
          <a:off x="3270249" y="1009649"/>
          <a:ext cx="11715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62345D9-FB2B-40D6-ADFF-47B92B03A8F6}" type="TxLink">
            <a:rPr lang="en-US" sz="2000" b="1" i="0" u="none" strike="noStrike">
              <a:solidFill>
                <a:schemeClr val="bg1"/>
              </a:solidFill>
              <a:latin typeface="Calibri"/>
              <a:ea typeface="Calibri"/>
              <a:cs typeface="Calibri"/>
            </a:rPr>
            <a:pPr algn="ctr"/>
            <a:t>7.6</a:t>
          </a:fld>
          <a:endParaRPr lang="en-IN" sz="4000" b="1">
            <a:solidFill>
              <a:schemeClr val="bg1"/>
            </a:solidFill>
          </a:endParaRPr>
        </a:p>
      </xdr:txBody>
    </xdr:sp>
    <xdr:clientData/>
  </xdr:twoCellAnchor>
  <xdr:twoCellAnchor>
    <xdr:from>
      <xdr:col>0</xdr:col>
      <xdr:colOff>1</xdr:colOff>
      <xdr:row>7</xdr:row>
      <xdr:rowOff>161925</xdr:rowOff>
    </xdr:from>
    <xdr:to>
      <xdr:col>5</xdr:col>
      <xdr:colOff>295275</xdr:colOff>
      <xdr:row>20</xdr:row>
      <xdr:rowOff>123825</xdr:rowOff>
    </xdr:to>
    <xdr:graphicFrame macro="">
      <xdr:nvGraphicFramePr>
        <xdr:cNvPr id="35" name="Chart 34">
          <a:extLst>
            <a:ext uri="{FF2B5EF4-FFF2-40B4-BE49-F238E27FC236}">
              <a16:creationId xmlns:a16="http://schemas.microsoft.com/office/drawing/2014/main" id="{DC930D0B-F5A0-4482-8CD4-FEB4C7635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428625</xdr:colOff>
      <xdr:row>8</xdr:row>
      <xdr:rowOff>9525</xdr:rowOff>
    </xdr:from>
    <xdr:to>
      <xdr:col>14</xdr:col>
      <xdr:colOff>342900</xdr:colOff>
      <xdr:row>20</xdr:row>
      <xdr:rowOff>19050</xdr:rowOff>
    </xdr:to>
    <xdr:graphicFrame macro="">
      <xdr:nvGraphicFramePr>
        <xdr:cNvPr id="36" name="Chart 35">
          <a:extLst>
            <a:ext uri="{FF2B5EF4-FFF2-40B4-BE49-F238E27FC236}">
              <a16:creationId xmlns:a16="http://schemas.microsoft.com/office/drawing/2014/main" id="{661EE7A4-FF75-40E8-8CB1-C45D4D0A5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123824</xdr:colOff>
      <xdr:row>20</xdr:row>
      <xdr:rowOff>104775</xdr:rowOff>
    </xdr:from>
    <xdr:to>
      <xdr:col>10</xdr:col>
      <xdr:colOff>66675</xdr:colOff>
      <xdr:row>33</xdr:row>
      <xdr:rowOff>171450</xdr:rowOff>
    </xdr:to>
    <xdr:graphicFrame macro="">
      <xdr:nvGraphicFramePr>
        <xdr:cNvPr id="37" name="Chart 36">
          <a:extLst>
            <a:ext uri="{FF2B5EF4-FFF2-40B4-BE49-F238E27FC236}">
              <a16:creationId xmlns:a16="http://schemas.microsoft.com/office/drawing/2014/main" id="{3F7B4E8E-5E94-4E0D-8099-6112E76E9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76200</xdr:colOff>
      <xdr:row>20</xdr:row>
      <xdr:rowOff>104776</xdr:rowOff>
    </xdr:from>
    <xdr:to>
      <xdr:col>6</xdr:col>
      <xdr:colOff>142875</xdr:colOff>
      <xdr:row>33</xdr:row>
      <xdr:rowOff>85726</xdr:rowOff>
    </xdr:to>
    <xdr:graphicFrame macro="">
      <xdr:nvGraphicFramePr>
        <xdr:cNvPr id="38" name="Chart 37">
          <a:extLst>
            <a:ext uri="{FF2B5EF4-FFF2-40B4-BE49-F238E27FC236}">
              <a16:creationId xmlns:a16="http://schemas.microsoft.com/office/drawing/2014/main" id="{0440A29C-AE69-4E4F-A512-7BA4EFE1F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83343</xdr:colOff>
      <xdr:row>21</xdr:row>
      <xdr:rowOff>0</xdr:rowOff>
    </xdr:from>
    <xdr:to>
      <xdr:col>14</xdr:col>
      <xdr:colOff>250031</xdr:colOff>
      <xdr:row>33</xdr:row>
      <xdr:rowOff>71437</xdr:rowOff>
    </xdr:to>
    <mc:AlternateContent xmlns:mc="http://schemas.openxmlformats.org/markup-compatibility/2006">
      <mc:Choice xmlns:cx2="http://schemas.microsoft.com/office/drawing/2015/10/21/chartex" Requires="cx2">
        <xdr:graphicFrame macro="">
          <xdr:nvGraphicFramePr>
            <xdr:cNvPr id="39" name="Chart 38">
              <a:extLst>
                <a:ext uri="{FF2B5EF4-FFF2-40B4-BE49-F238E27FC236}">
                  <a16:creationId xmlns:a16="http://schemas.microsoft.com/office/drawing/2014/main" id="{07677AD6-9C46-406D-8669-559F0071F9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179343" y="4000500"/>
              <a:ext cx="2605088" cy="235743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10</xdr:col>
      <xdr:colOff>49611</xdr:colOff>
      <xdr:row>3</xdr:row>
      <xdr:rowOff>39688</xdr:rowOff>
    </xdr:from>
    <xdr:to>
      <xdr:col>12</xdr:col>
      <xdr:colOff>198438</xdr:colOff>
      <xdr:row>7</xdr:row>
      <xdr:rowOff>128986</xdr:rowOff>
    </xdr:to>
    <mc:AlternateContent xmlns:mc="http://schemas.openxmlformats.org/markup-compatibility/2006">
      <mc:Choice xmlns:a14="http://schemas.microsoft.com/office/drawing/2010/main" Requires="a14">
        <xdr:graphicFrame macro="">
          <xdr:nvGraphicFramePr>
            <xdr:cNvPr id="40" name="Department">
              <a:extLst>
                <a:ext uri="{FF2B5EF4-FFF2-40B4-BE49-F238E27FC236}">
                  <a16:creationId xmlns:a16="http://schemas.microsoft.com/office/drawing/2014/main" id="{0B4D377C-F500-40E0-B9AC-57A8203F877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100787" y="611188"/>
              <a:ext cx="1359063" cy="8512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248047</xdr:colOff>
      <xdr:row>3</xdr:row>
      <xdr:rowOff>49610</xdr:rowOff>
    </xdr:from>
    <xdr:to>
      <xdr:col>14</xdr:col>
      <xdr:colOff>357188</xdr:colOff>
      <xdr:row>7</xdr:row>
      <xdr:rowOff>119064</xdr:rowOff>
    </xdr:to>
    <mc:AlternateContent xmlns:mc="http://schemas.openxmlformats.org/markup-compatibility/2006">
      <mc:Choice xmlns:a14="http://schemas.microsoft.com/office/drawing/2010/main" Requires="a14">
        <xdr:graphicFrame macro="">
          <xdr:nvGraphicFramePr>
            <xdr:cNvPr id="41" name="Work_Mode">
              <a:extLst>
                <a:ext uri="{FF2B5EF4-FFF2-40B4-BE49-F238E27FC236}">
                  <a16:creationId xmlns:a16="http://schemas.microsoft.com/office/drawing/2014/main" id="{5695794A-937B-4426-874C-5DA955A90129}"/>
                </a:ext>
              </a:extLst>
            </xdr:cNvPr>
            <xdr:cNvGraphicFramePr/>
          </xdr:nvGraphicFramePr>
          <xdr:xfrm>
            <a:off x="0" y="0"/>
            <a:ext cx="0" cy="0"/>
          </xdr:xfrm>
          <a:graphic>
            <a:graphicData uri="http://schemas.microsoft.com/office/drawing/2010/slicer">
              <sle:slicer xmlns:sle="http://schemas.microsoft.com/office/drawing/2010/slicer" name="Work_Mode"/>
            </a:graphicData>
          </a:graphic>
        </xdr:graphicFrame>
      </mc:Choice>
      <mc:Fallback>
        <xdr:sp macro="" textlink="">
          <xdr:nvSpPr>
            <xdr:cNvPr id="0" name=""/>
            <xdr:cNvSpPr>
              <a:spLocks noTextEdit="1"/>
            </xdr:cNvSpPr>
          </xdr:nvSpPr>
          <xdr:spPr>
            <a:xfrm>
              <a:off x="7509459" y="621110"/>
              <a:ext cx="1319376" cy="831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idhan Nn" refreshedDate="46091.915376851852" createdVersion="6" refreshedVersion="6" minRefreshableVersion="3" recordCount="50" xr:uid="{277FA863-AFBD-4EA9-B469-9E44619F347B}">
  <cacheSource type="worksheet">
    <worksheetSource name="employee_work_pattern_employee"/>
  </cacheSource>
  <cacheFields count="15">
    <cacheField name="Employee_ID" numFmtId="0">
      <sharedItems count="50">
        <s v="E001"/>
        <s v="E002"/>
        <s v="E003"/>
        <s v="E004"/>
        <s v="E005"/>
        <s v="E006"/>
        <s v="E007"/>
        <s v="E008"/>
        <s v="E009"/>
        <s v="E010"/>
        <s v="E011"/>
        <s v="E012"/>
        <s v="E013"/>
        <s v="E014"/>
        <s v="E015"/>
        <s v="E016"/>
        <s v="E017"/>
        <s v="E018"/>
        <s v="E019"/>
        <s v="E020"/>
        <s v="E021"/>
        <s v="E022"/>
        <s v="E023"/>
        <s v="E024"/>
        <s v="E025"/>
        <s v="E026"/>
        <s v="E027"/>
        <s v="E028"/>
        <s v="E029"/>
        <s v="E030"/>
        <s v="E031"/>
        <s v="E032"/>
        <s v="E033"/>
        <s v="E034"/>
        <s v="E035"/>
        <s v="E036"/>
        <s v="E037"/>
        <s v="E038"/>
        <s v="E039"/>
        <s v="E040"/>
        <s v="E041"/>
        <s v="E042"/>
        <s v="E043"/>
        <s v="E044"/>
        <s v="E045"/>
        <s v="E046"/>
        <s v="E047"/>
        <s v="E048"/>
        <s v="E049"/>
        <s v="E050"/>
      </sharedItems>
    </cacheField>
    <cacheField name="Name" numFmtId="0">
      <sharedItems count="50">
        <s v="Amit"/>
        <s v="Sara"/>
        <s v="Rahul"/>
        <s v="Priya"/>
        <s v="John"/>
        <s v="Anita"/>
        <s v="Arjun"/>
        <s v="Meera"/>
        <s v="Kiran"/>
        <s v="David"/>
        <s v="Linda"/>
        <s v="Ravi"/>
        <s v="Nina"/>
        <s v="Sunil"/>
        <s v="Asha"/>
        <s v="Karthik"/>
        <s v="Divya"/>
        <s v="Joseph"/>
        <s v="Anu"/>
        <s v="Varun"/>
        <s v="Riya"/>
        <s v="Manoj"/>
        <s v="Neha"/>
        <s v="Aravind"/>
        <s v="Deepa"/>
        <s v="Suresh"/>
        <s v="Kavya"/>
        <s v="Ajay"/>
        <s v="Reshma"/>
        <s v="Vikram"/>
        <s v="Shyam"/>
        <s v="Pooja"/>
        <s v="Harish"/>
        <s v="Anjali"/>
        <s v="George"/>
        <s v="Lakshmi"/>
        <s v="Ajith"/>
        <s v="Farah"/>
        <s v="Manu"/>
        <s v="Sneha"/>
        <s v="Daniel"/>
        <s v="Rohit"/>
        <s v="Maya"/>
        <s v="Nikhil"/>
        <s v="Alina"/>
        <s v="Prakash"/>
        <s v="Tina"/>
        <s v="Ramesh"/>
        <s v="Sonia"/>
        <s v="Abdul"/>
      </sharedItems>
    </cacheField>
    <cacheField name="Department" numFmtId="0">
      <sharedItems count="4">
        <s v="IT"/>
        <s v="HR"/>
        <s v="Finance"/>
        <s v="Marketing"/>
      </sharedItems>
    </cacheField>
    <cacheField name="Age" numFmtId="0">
      <sharedItems containsSemiMixedTypes="0" containsString="0" containsNumber="1" minValue="26" maxValue="37"/>
    </cacheField>
    <cacheField name="Gender" numFmtId="0">
      <sharedItems count="2">
        <s v="Male"/>
        <s v="Female"/>
      </sharedItems>
    </cacheField>
    <cacheField name="Experience_Years" numFmtId="0">
      <sharedItems containsSemiMixedTypes="0" containsString="0" containsNumber="1" containsInteger="1" minValue="3" maxValue="12"/>
    </cacheField>
    <cacheField name="Work_Mode" numFmtId="0">
      <sharedItems count="3">
        <s v="Remote"/>
        <s v="Office"/>
        <s v="Hybrid"/>
      </sharedItems>
    </cacheField>
    <cacheField name="Projects_Completed" numFmtId="0">
      <sharedItems containsSemiMixedTypes="0" containsString="0" containsNumber="1" minValue="7" maxValue="16"/>
    </cacheField>
    <cacheField name="Avg_Daily_Hours" numFmtId="0">
      <sharedItems containsSemiMixedTypes="0" containsString="0" containsNumber="1" containsInteger="1" minValue="7" maxValue="9"/>
    </cacheField>
    <cacheField name="Performance_Score" numFmtId="0">
      <sharedItems containsSemiMixedTypes="0" containsString="0" containsNumber="1" minValue="74" maxValue="94"/>
    </cacheField>
    <cacheField name="Sick_Days" numFmtId="0">
      <sharedItems containsSemiMixedTypes="0" containsString="0" containsNumber="1" containsInteger="1" minValue="0" maxValue="6"/>
    </cacheField>
    <cacheField name="Training_Hours" numFmtId="0">
      <sharedItems containsSemiMixedTypes="0" containsString="0" containsNumber="1" minValue="10" maxValue="25"/>
    </cacheField>
    <cacheField name="Job_Satisfaction" numFmtId="0">
      <sharedItems containsSemiMixedTypes="0" containsString="0" containsNumber="1" containsInteger="1" minValue="2" maxValue="5" count="4">
        <n v="4"/>
        <n v="3"/>
        <n v="5"/>
        <n v="2"/>
      </sharedItems>
    </cacheField>
    <cacheField name="Productivity_Index" numFmtId="0">
      <sharedItems containsSemiMixedTypes="0" containsString="0" containsNumber="1" minValue="5.18" maxValue="15.04" count="26">
        <n v="10.56"/>
        <n v="7.38"/>
        <n v="9.35"/>
        <n v="6.4"/>
        <n v="13.8"/>
        <n v="5.25"/>
        <n v="11.57"/>
        <n v="8.4"/>
        <n v="7.02"/>
        <n v="12.74"/>
        <n v="6.08"/>
        <n v="9.4600000000000009"/>
        <n v="5.84"/>
        <n v="10.44"/>
        <n v="7.2"/>
        <n v="8.3000000000000007"/>
        <n v="6.16"/>
        <n v="14.88"/>
        <n v="7.29"/>
        <n v="8.2708163265306123"/>
        <n v="5.18"/>
        <n v="7.11"/>
        <n v="15.04"/>
        <n v="11.7"/>
        <n v="6.32"/>
        <n v="6.24"/>
      </sharedItems>
    </cacheField>
    <cacheField name="Performance_Level" numFmtId="0">
      <sharedItems/>
    </cacheField>
  </cacheFields>
  <extLst>
    <ext xmlns:x14="http://schemas.microsoft.com/office/spreadsheetml/2009/9/main" uri="{725AE2AE-9491-48be-B2B4-4EB974FC3084}">
      <x14:pivotCacheDefinition pivotCacheId="12090652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n v="29"/>
    <x v="0"/>
    <n v="5"/>
    <x v="0"/>
    <n v="12"/>
    <n v="8"/>
    <n v="88"/>
    <n v="3"/>
    <n v="20"/>
    <x v="0"/>
    <x v="0"/>
    <s v="High"/>
  </r>
  <r>
    <x v="1"/>
    <x v="1"/>
    <x v="1"/>
    <n v="34"/>
    <x v="1"/>
    <n v="8"/>
    <x v="1"/>
    <n v="9"/>
    <n v="7"/>
    <n v="82"/>
    <n v="5"/>
    <n v="15"/>
    <x v="1"/>
    <x v="1"/>
    <s v="Medium"/>
  </r>
  <r>
    <x v="2"/>
    <x v="2"/>
    <x v="2"/>
    <n v="31"/>
    <x v="0"/>
    <n v="6"/>
    <x v="2"/>
    <n v="11"/>
    <n v="8"/>
    <n v="85"/>
    <n v="2"/>
    <n v="18"/>
    <x v="0"/>
    <x v="2"/>
    <s v="Medium"/>
  </r>
  <r>
    <x v="3"/>
    <x v="3"/>
    <x v="0"/>
    <n v="27"/>
    <x v="1"/>
    <n v="3"/>
    <x v="0"/>
    <n v="8"/>
    <n v="7"/>
    <n v="80"/>
    <n v="1"/>
    <n v="12"/>
    <x v="1"/>
    <x v="3"/>
    <s v="Medium"/>
  </r>
  <r>
    <x v="4"/>
    <x v="4"/>
    <x v="3"/>
    <n v="36"/>
    <x v="0"/>
    <n v="10"/>
    <x v="1"/>
    <n v="15"/>
    <n v="9"/>
    <n v="92"/>
    <n v="4"/>
    <n v="22"/>
    <x v="2"/>
    <x v="4"/>
    <s v="High"/>
  </r>
  <r>
    <x v="5"/>
    <x v="5"/>
    <x v="1"/>
    <n v="28"/>
    <x v="1"/>
    <n v="4"/>
    <x v="2"/>
    <n v="7"/>
    <n v="7"/>
    <n v="75"/>
    <n v="6"/>
    <n v="10"/>
    <x v="3"/>
    <x v="5"/>
    <s v="Medium"/>
  </r>
  <r>
    <x v="6"/>
    <x v="6"/>
    <x v="0"/>
    <n v="30"/>
    <x v="0"/>
    <n v="6"/>
    <x v="0"/>
    <n v="13"/>
    <n v="8"/>
    <n v="89"/>
    <n v="2"/>
    <n v="20"/>
    <x v="0"/>
    <x v="6"/>
    <s v="High"/>
  </r>
  <r>
    <x v="7"/>
    <x v="7"/>
    <x v="2"/>
    <n v="33"/>
    <x v="1"/>
    <n v="7"/>
    <x v="1"/>
    <n v="10"/>
    <n v="8"/>
    <n v="84"/>
    <n v="3"/>
    <n v="17"/>
    <x v="0"/>
    <x v="7"/>
    <s v="Medium"/>
  </r>
  <r>
    <x v="8"/>
    <x v="8"/>
    <x v="3"/>
    <n v="29"/>
    <x v="0"/>
    <n v="5"/>
    <x v="2"/>
    <n v="9"/>
    <n v="7"/>
    <n v="78"/>
    <n v="4"/>
    <n v="14"/>
    <x v="1"/>
    <x v="8"/>
    <s v="Medium"/>
  </r>
  <r>
    <x v="9"/>
    <x v="9"/>
    <x v="0"/>
    <n v="35"/>
    <x v="0"/>
    <n v="9"/>
    <x v="1"/>
    <n v="14"/>
    <n v="8"/>
    <n v="91"/>
    <n v="2"/>
    <n v="21"/>
    <x v="2"/>
    <x v="9"/>
    <s v="High"/>
  </r>
  <r>
    <x v="10"/>
    <x v="10"/>
    <x v="1"/>
    <n v="31.142857142857142"/>
    <x v="1"/>
    <n v="6"/>
    <x v="0"/>
    <n v="8"/>
    <n v="7"/>
    <n v="76"/>
    <n v="5"/>
    <n v="13"/>
    <x v="1"/>
    <x v="10"/>
    <s v="Medium"/>
  </r>
  <r>
    <x v="11"/>
    <x v="11"/>
    <x v="2"/>
    <n v="32"/>
    <x v="0"/>
    <n v="6"/>
    <x v="2"/>
    <n v="11"/>
    <n v="8"/>
    <n v="86"/>
    <n v="3"/>
    <n v="18"/>
    <x v="0"/>
    <x v="11"/>
    <s v="High"/>
  </r>
  <r>
    <x v="12"/>
    <x v="12"/>
    <x v="3"/>
    <n v="26"/>
    <x v="1"/>
    <n v="3"/>
    <x v="1"/>
    <n v="7"/>
    <n v="7"/>
    <n v="83.428571428571431"/>
    <n v="4"/>
    <n v="12"/>
    <x v="1"/>
    <x v="12"/>
    <s v="Medium"/>
  </r>
  <r>
    <x v="13"/>
    <x v="13"/>
    <x v="0"/>
    <n v="31"/>
    <x v="0"/>
    <n v="7"/>
    <x v="0"/>
    <n v="12"/>
    <n v="8"/>
    <n v="87"/>
    <n v="0"/>
    <n v="19"/>
    <x v="0"/>
    <x v="13"/>
    <s v="High"/>
  </r>
  <r>
    <x v="14"/>
    <x v="14"/>
    <x v="1"/>
    <n v="29"/>
    <x v="1"/>
    <n v="5"/>
    <x v="2"/>
    <n v="9"/>
    <n v="7"/>
    <n v="80"/>
    <n v="3"/>
    <n v="16.551020408163264"/>
    <x v="1"/>
    <x v="14"/>
    <s v="Medium"/>
  </r>
  <r>
    <x v="15"/>
    <x v="15"/>
    <x v="2"/>
    <n v="34"/>
    <x v="0"/>
    <n v="8"/>
    <x v="1"/>
    <n v="10"/>
    <n v="7"/>
    <n v="83"/>
    <n v="2"/>
    <n v="17"/>
    <x v="0"/>
    <x v="15"/>
    <s v="Medium"/>
  </r>
  <r>
    <x v="16"/>
    <x v="16"/>
    <x v="3"/>
    <n v="27"/>
    <x v="1"/>
    <n v="4"/>
    <x v="0"/>
    <n v="8"/>
    <n v="7"/>
    <n v="77"/>
    <n v="5"/>
    <n v="11"/>
    <x v="0"/>
    <x v="16"/>
    <s v="Medium"/>
  </r>
  <r>
    <x v="17"/>
    <x v="17"/>
    <x v="0"/>
    <n v="36"/>
    <x v="0"/>
    <n v="11"/>
    <x v="1"/>
    <n v="16"/>
    <n v="9"/>
    <n v="93"/>
    <n v="2"/>
    <n v="24"/>
    <x v="2"/>
    <x v="17"/>
    <s v="High"/>
  </r>
  <r>
    <x v="18"/>
    <x v="18"/>
    <x v="1"/>
    <n v="30"/>
    <x v="1"/>
    <n v="6"/>
    <x v="2"/>
    <n v="9"/>
    <n v="7"/>
    <n v="81"/>
    <n v="4"/>
    <n v="14"/>
    <x v="1"/>
    <x v="18"/>
    <s v="Medium"/>
  </r>
  <r>
    <x v="19"/>
    <x v="19"/>
    <x v="2"/>
    <n v="28"/>
    <x v="0"/>
    <n v="4"/>
    <x v="0"/>
    <n v="10.469387755102041"/>
    <n v="7"/>
    <n v="79"/>
    <n v="3"/>
    <n v="13"/>
    <x v="1"/>
    <x v="19"/>
    <s v="Medium"/>
  </r>
  <r>
    <x v="20"/>
    <x v="20"/>
    <x v="3"/>
    <n v="31"/>
    <x v="1"/>
    <n v="6"/>
    <x v="1"/>
    <n v="11"/>
    <n v="8"/>
    <n v="86"/>
    <n v="2"/>
    <n v="18"/>
    <x v="0"/>
    <x v="11"/>
    <s v="High"/>
  </r>
  <r>
    <x v="21"/>
    <x v="21"/>
    <x v="0"/>
    <n v="33"/>
    <x v="0"/>
    <n v="8"/>
    <x v="2"/>
    <n v="12"/>
    <n v="8"/>
    <n v="88"/>
    <n v="3"/>
    <n v="19"/>
    <x v="0"/>
    <x v="0"/>
    <s v="High"/>
  </r>
  <r>
    <x v="22"/>
    <x v="22"/>
    <x v="1"/>
    <n v="27"/>
    <x v="1"/>
    <n v="4"/>
    <x v="0"/>
    <n v="7"/>
    <n v="7"/>
    <n v="74"/>
    <n v="6"/>
    <n v="10"/>
    <x v="3"/>
    <x v="20"/>
    <s v="Low"/>
  </r>
  <r>
    <x v="23"/>
    <x v="23"/>
    <x v="2"/>
    <n v="35"/>
    <x v="0"/>
    <n v="9"/>
    <x v="1"/>
    <n v="14"/>
    <n v="8"/>
    <n v="91"/>
    <n v="2"/>
    <n v="22"/>
    <x v="2"/>
    <x v="9"/>
    <s v="High"/>
  </r>
  <r>
    <x v="24"/>
    <x v="24"/>
    <x v="3"/>
    <n v="28"/>
    <x v="1"/>
    <n v="5"/>
    <x v="2"/>
    <n v="9"/>
    <n v="7"/>
    <n v="79"/>
    <n v="4"/>
    <n v="15"/>
    <x v="1"/>
    <x v="21"/>
    <s v="Medium"/>
  </r>
  <r>
    <x v="25"/>
    <x v="25"/>
    <x v="0"/>
    <n v="37"/>
    <x v="0"/>
    <n v="12"/>
    <x v="1"/>
    <n v="16"/>
    <n v="9"/>
    <n v="94"/>
    <n v="2"/>
    <n v="25"/>
    <x v="2"/>
    <x v="22"/>
    <s v="High"/>
  </r>
  <r>
    <x v="26"/>
    <x v="26"/>
    <x v="1"/>
    <n v="29"/>
    <x v="1"/>
    <n v="6"/>
    <x v="0"/>
    <n v="8"/>
    <n v="7"/>
    <n v="76"/>
    <n v="5"/>
    <n v="13"/>
    <x v="1"/>
    <x v="10"/>
    <s v="Medium"/>
  </r>
  <r>
    <x v="27"/>
    <x v="27"/>
    <x v="2"/>
    <n v="32"/>
    <x v="0"/>
    <n v="7"/>
    <x v="2"/>
    <n v="11"/>
    <n v="8"/>
    <n v="85"/>
    <n v="3"/>
    <n v="18"/>
    <x v="0"/>
    <x v="2"/>
    <s v="Medium"/>
  </r>
  <r>
    <x v="28"/>
    <x v="28"/>
    <x v="3"/>
    <n v="30"/>
    <x v="1"/>
    <n v="5"/>
    <x v="1"/>
    <n v="9"/>
    <n v="7"/>
    <n v="80"/>
    <n v="4"/>
    <n v="14"/>
    <x v="1"/>
    <x v="14"/>
    <s v="Medium"/>
  </r>
  <r>
    <x v="29"/>
    <x v="29"/>
    <x v="0"/>
    <n v="34"/>
    <x v="0"/>
    <n v="8"/>
    <x v="0"/>
    <n v="13"/>
    <n v="8"/>
    <n v="90"/>
    <n v="2"/>
    <n v="21"/>
    <x v="0"/>
    <x v="23"/>
    <s v="High"/>
  </r>
  <r>
    <x v="30"/>
    <x v="30"/>
    <x v="1"/>
    <n v="31"/>
    <x v="0"/>
    <n v="7"/>
    <x v="2"/>
    <n v="10"/>
    <n v="8"/>
    <n v="83"/>
    <n v="3"/>
    <n v="16"/>
    <x v="0"/>
    <x v="15"/>
    <s v="Medium"/>
  </r>
  <r>
    <x v="31"/>
    <x v="31"/>
    <x v="2"/>
    <n v="26"/>
    <x v="1"/>
    <n v="3"/>
    <x v="1"/>
    <n v="7"/>
    <n v="7"/>
    <n v="75"/>
    <n v="5"/>
    <n v="11"/>
    <x v="3"/>
    <x v="5"/>
    <s v="Medium"/>
  </r>
  <r>
    <x v="32"/>
    <x v="32"/>
    <x v="3"/>
    <n v="35"/>
    <x v="0"/>
    <n v="9"/>
    <x v="0"/>
    <n v="12"/>
    <n v="8"/>
    <n v="88"/>
    <n v="2"/>
    <n v="19"/>
    <x v="0"/>
    <x v="0"/>
    <s v="High"/>
  </r>
  <r>
    <x v="33"/>
    <x v="33"/>
    <x v="0"/>
    <n v="28"/>
    <x v="1"/>
    <n v="4"/>
    <x v="2"/>
    <n v="8"/>
    <n v="7"/>
    <n v="79"/>
    <n v="4"/>
    <n v="13"/>
    <x v="1"/>
    <x v="24"/>
    <s v="Medium"/>
  </r>
  <r>
    <x v="34"/>
    <x v="34"/>
    <x v="2"/>
    <n v="36"/>
    <x v="0"/>
    <n v="10"/>
    <x v="1"/>
    <n v="15"/>
    <n v="9"/>
    <n v="92"/>
    <n v="2"/>
    <n v="23"/>
    <x v="2"/>
    <x v="4"/>
    <s v="High"/>
  </r>
  <r>
    <x v="35"/>
    <x v="35"/>
    <x v="1"/>
    <n v="33"/>
    <x v="1"/>
    <n v="8"/>
    <x v="0"/>
    <n v="10"/>
    <n v="8"/>
    <n v="84"/>
    <n v="3"/>
    <n v="17"/>
    <x v="0"/>
    <x v="7"/>
    <s v="Medium"/>
  </r>
  <r>
    <x v="36"/>
    <x v="36"/>
    <x v="3"/>
    <n v="29"/>
    <x v="0"/>
    <n v="6"/>
    <x v="2"/>
    <n v="9"/>
    <n v="7"/>
    <n v="81"/>
    <n v="4"/>
    <n v="15"/>
    <x v="1"/>
    <x v="18"/>
    <s v="Medium"/>
  </r>
  <r>
    <x v="37"/>
    <x v="37"/>
    <x v="0"/>
    <n v="27"/>
    <x v="1"/>
    <n v="3"/>
    <x v="1"/>
    <n v="7"/>
    <n v="7"/>
    <n v="74"/>
    <n v="5"/>
    <n v="10"/>
    <x v="3"/>
    <x v="20"/>
    <s v="Low"/>
  </r>
  <r>
    <x v="38"/>
    <x v="38"/>
    <x v="2"/>
    <n v="34"/>
    <x v="0"/>
    <n v="8"/>
    <x v="0"/>
    <n v="12"/>
    <n v="8"/>
    <n v="87"/>
    <n v="3"/>
    <n v="20"/>
    <x v="0"/>
    <x v="13"/>
    <s v="High"/>
  </r>
  <r>
    <x v="39"/>
    <x v="39"/>
    <x v="1"/>
    <n v="30"/>
    <x v="1"/>
    <n v="5"/>
    <x v="2"/>
    <n v="9"/>
    <n v="7"/>
    <n v="80"/>
    <n v="4"/>
    <n v="14"/>
    <x v="1"/>
    <x v="14"/>
    <s v="Medium"/>
  </r>
  <r>
    <x v="40"/>
    <x v="40"/>
    <x v="3"/>
    <n v="32"/>
    <x v="0"/>
    <n v="7"/>
    <x v="1"/>
    <n v="11"/>
    <n v="8"/>
    <n v="85"/>
    <n v="3"/>
    <n v="18"/>
    <x v="0"/>
    <x v="2"/>
    <s v="Medium"/>
  </r>
  <r>
    <x v="41"/>
    <x v="41"/>
    <x v="0"/>
    <n v="35"/>
    <x v="0"/>
    <n v="9"/>
    <x v="0"/>
    <n v="14"/>
    <n v="8"/>
    <n v="91"/>
    <n v="2"/>
    <n v="22"/>
    <x v="2"/>
    <x v="9"/>
    <s v="High"/>
  </r>
  <r>
    <x v="42"/>
    <x v="42"/>
    <x v="2"/>
    <n v="28"/>
    <x v="1"/>
    <n v="4"/>
    <x v="2"/>
    <n v="8"/>
    <n v="7"/>
    <n v="77"/>
    <n v="5"/>
    <n v="12"/>
    <x v="1"/>
    <x v="16"/>
    <s v="Medium"/>
  </r>
  <r>
    <x v="43"/>
    <x v="43"/>
    <x v="3"/>
    <n v="31"/>
    <x v="0"/>
    <n v="6"/>
    <x v="1"/>
    <n v="10"/>
    <n v="7"/>
    <n v="83"/>
    <n v="3"/>
    <n v="16"/>
    <x v="0"/>
    <x v="15"/>
    <s v="Medium"/>
  </r>
  <r>
    <x v="44"/>
    <x v="44"/>
    <x v="1"/>
    <n v="29"/>
    <x v="1"/>
    <n v="5"/>
    <x v="0"/>
    <n v="8"/>
    <n v="7"/>
    <n v="78"/>
    <n v="4"/>
    <n v="13"/>
    <x v="1"/>
    <x v="25"/>
    <s v="Medium"/>
  </r>
  <r>
    <x v="45"/>
    <x v="45"/>
    <x v="0"/>
    <n v="37"/>
    <x v="0"/>
    <n v="11"/>
    <x v="1"/>
    <n v="16"/>
    <n v="9"/>
    <n v="93"/>
    <n v="2"/>
    <n v="24"/>
    <x v="2"/>
    <x v="17"/>
    <s v="High"/>
  </r>
  <r>
    <x v="46"/>
    <x v="46"/>
    <x v="2"/>
    <n v="27"/>
    <x v="1"/>
    <n v="3"/>
    <x v="2"/>
    <n v="7"/>
    <n v="7"/>
    <n v="74"/>
    <n v="6"/>
    <n v="11"/>
    <x v="3"/>
    <x v="20"/>
    <s v="Low"/>
  </r>
  <r>
    <x v="47"/>
    <x v="47"/>
    <x v="3"/>
    <n v="34"/>
    <x v="0"/>
    <n v="8"/>
    <x v="0"/>
    <n v="12"/>
    <n v="8"/>
    <n v="88"/>
    <n v="3"/>
    <n v="19"/>
    <x v="0"/>
    <x v="0"/>
    <s v="High"/>
  </r>
  <r>
    <x v="48"/>
    <x v="48"/>
    <x v="1"/>
    <n v="30"/>
    <x v="1"/>
    <n v="6"/>
    <x v="1"/>
    <n v="9"/>
    <n v="7"/>
    <n v="81"/>
    <n v="4"/>
    <n v="15"/>
    <x v="1"/>
    <x v="18"/>
    <s v="Medium"/>
  </r>
  <r>
    <x v="49"/>
    <x v="49"/>
    <x v="0"/>
    <n v="33"/>
    <x v="0"/>
    <n v="7"/>
    <x v="2"/>
    <n v="11"/>
    <n v="8"/>
    <n v="86"/>
    <n v="3"/>
    <n v="18"/>
    <x v="0"/>
    <x v="11"/>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6A8D49-66BC-4556-8F4C-F2FE3A4F5C40}"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0:B15" firstHeaderRow="1" firstDataRow="1" firstDataCol="1"/>
  <pivotFields count="15">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axis="axisRow"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pivotField showAll="0">
      <items count="4">
        <item x="0"/>
        <item x="2"/>
        <item x="1"/>
        <item t="default"/>
      </items>
    </pivotField>
    <pivotField showAll="0"/>
    <pivotField showAll="0"/>
    <pivotField showAll="0"/>
    <pivotField showAll="0"/>
    <pivotField showAll="0"/>
    <pivotField showAll="0"/>
    <pivotField showAll="0"/>
    <pivotField showAll="0"/>
  </pivotFields>
  <rowFields count="1">
    <field x="2"/>
  </rowFields>
  <rowItems count="5">
    <i>
      <x v="2"/>
    </i>
    <i>
      <x v="3"/>
    </i>
    <i>
      <x/>
    </i>
    <i>
      <x v="1"/>
    </i>
    <i t="grand">
      <x/>
    </i>
  </rowItems>
  <colItems count="1">
    <i/>
  </colItems>
  <dataFields count="1">
    <dataField name="Count of Employee_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3726B7-FC2C-4519-95B2-CC08F904A80E}"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8:B23" firstHeaderRow="1" firstDataRow="1" firstDataCol="1"/>
  <pivotFields count="15">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2"/>
        <item x="1"/>
        <item x="0"/>
        <item x="3"/>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axis="axisRow" showAll="0">
      <items count="5">
        <item x="3"/>
        <item x="1"/>
        <item x="0"/>
        <item x="2"/>
        <item t="default"/>
      </items>
    </pivotField>
    <pivotField showAll="0"/>
    <pivotField showAll="0"/>
  </pivotFields>
  <rowFields count="1">
    <field x="12"/>
  </rowFields>
  <rowItems count="5">
    <i>
      <x/>
    </i>
    <i>
      <x v="1"/>
    </i>
    <i>
      <x v="2"/>
    </i>
    <i>
      <x v="3"/>
    </i>
    <i t="grand">
      <x/>
    </i>
  </rowItems>
  <colItems count="1">
    <i/>
  </colItems>
  <dataFields count="1">
    <dataField name="Count of Employee_ID" fld="0" subtotal="count" baseField="0" baseItem="0"/>
  </dataFields>
  <chartFormats count="5">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2" count="1" selected="0">
            <x v="0"/>
          </reference>
        </references>
      </pivotArea>
    </chartFormat>
    <chartFormat chart="2" format="12">
      <pivotArea type="data" outline="0" fieldPosition="0">
        <references count="2">
          <reference field="4294967294" count="1" selected="0">
            <x v="0"/>
          </reference>
          <reference field="12" count="1" selected="0">
            <x v="1"/>
          </reference>
        </references>
      </pivotArea>
    </chartFormat>
    <chartFormat chart="2" format="13">
      <pivotArea type="data" outline="0" fieldPosition="0">
        <references count="2">
          <reference field="4294967294" count="1" selected="0">
            <x v="0"/>
          </reference>
          <reference field="12" count="1" selected="0">
            <x v="2"/>
          </reference>
        </references>
      </pivotArea>
    </chartFormat>
    <chartFormat chart="2"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70D65B-809F-49D6-9C11-BA295F9AC6D9}"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3:F4" firstHeaderRow="1" firstDataRow="1" firstDataCol="0"/>
  <pivotFields count="15">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2"/>
        <item x="1"/>
        <item x="0"/>
        <item x="3"/>
        <item t="default"/>
      </items>
    </pivotField>
    <pivotField showAll="0"/>
    <pivotField showAll="0"/>
    <pivotField showAll="0"/>
    <pivotField showAll="0">
      <items count="4">
        <item x="0"/>
        <item x="2"/>
        <item x="1"/>
        <item t="default"/>
      </items>
    </pivotField>
    <pivotField showAll="0"/>
    <pivotField showAll="0"/>
    <pivotField dataField="1" showAll="0"/>
    <pivotField showAll="0"/>
    <pivotField showAll="0"/>
    <pivotField showAll="0"/>
    <pivotField showAll="0"/>
    <pivotField showAll="0"/>
  </pivotFields>
  <rowItems count="1">
    <i/>
  </rowItems>
  <colItems count="1">
    <i/>
  </colItems>
  <dataFields count="1">
    <dataField name="Average of Performance_Score" fld="9" subtotal="average" baseField="0" baseItem="0" numFmtId="164"/>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5B765A-1088-4181-B378-26F9A67E1105}"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15:G20" firstHeaderRow="1" firstDataRow="1" firstDataCol="1"/>
  <pivotFields count="15">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axis="axisRow" showAll="0">
      <items count="5">
        <item x="2"/>
        <item x="1"/>
        <item x="0"/>
        <item x="3"/>
        <item t="default"/>
      </items>
    </pivotField>
    <pivotField showAll="0"/>
    <pivotField showAll="0"/>
    <pivotField showAll="0"/>
    <pivotField showAll="0">
      <items count="4">
        <item x="0"/>
        <item x="2"/>
        <item x="1"/>
        <item t="default"/>
      </items>
    </pivotField>
    <pivotField showAll="0"/>
    <pivotField showAll="0"/>
    <pivotField dataField="1" showAll="0"/>
    <pivotField showAll="0"/>
    <pivotField showAll="0"/>
    <pivotField showAll="0"/>
    <pivotField showAll="0"/>
    <pivotField showAll="0"/>
  </pivotFields>
  <rowFields count="1">
    <field x="2"/>
  </rowFields>
  <rowItems count="5">
    <i>
      <x/>
    </i>
    <i>
      <x v="1"/>
    </i>
    <i>
      <x v="2"/>
    </i>
    <i>
      <x v="3"/>
    </i>
    <i t="grand">
      <x/>
    </i>
  </rowItems>
  <colItems count="1">
    <i/>
  </colItems>
  <dataFields count="1">
    <dataField name="Average of Performance_Score" fld="9"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2A359C-0209-4DCE-BB87-739B5B7DE71C}" name="PivotTable1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9:F10" firstHeaderRow="1" firstDataRow="1" firstDataCol="0"/>
  <pivotFields count="15">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2"/>
        <item x="1"/>
        <item x="0"/>
        <item x="3"/>
        <item t="default"/>
      </items>
    </pivotField>
    <pivotField showAll="0"/>
    <pivotField showAll="0"/>
    <pivotField showAll="0"/>
    <pivotField showAll="0">
      <items count="4">
        <item x="0"/>
        <item x="2"/>
        <item x="1"/>
        <item t="default"/>
      </items>
    </pivotField>
    <pivotField dataField="1" showAll="0"/>
    <pivotField showAll="0"/>
    <pivotField showAll="0"/>
    <pivotField showAll="0"/>
    <pivotField showAll="0"/>
    <pivotField showAll="0"/>
    <pivotField showAll="0"/>
    <pivotField showAll="0"/>
  </pivotFields>
  <rowItems count="1">
    <i/>
  </rowItems>
  <colItems count="1">
    <i/>
  </colItems>
  <dataFields count="1">
    <dataField name="Sum of Projects_Complete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E6FE8E-0A6A-4BB7-967D-00670553BFC2}"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D7" firstHeaderRow="1" firstDataRow="1" firstDataCol="1"/>
  <pivotFields count="15">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2"/>
        <item x="1"/>
        <item x="0"/>
        <item x="3"/>
        <item t="default"/>
      </items>
    </pivotField>
    <pivotField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6"/>
  </rowFields>
  <rowItems count="4">
    <i>
      <x v="2"/>
    </i>
    <i>
      <x/>
    </i>
    <i>
      <x v="1"/>
    </i>
    <i t="grand">
      <x/>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3D579C-48A0-463D-BB71-B1D011C9C5A5}"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5">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2"/>
        <item x="1"/>
        <item x="0"/>
        <item x="3"/>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128ED1-954D-4884-AB40-AF01645CDA90}"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31:E37" firstHeaderRow="1" firstDataRow="1" firstDataCol="1"/>
  <pivotFields count="15">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measureFilter="1" sortType="ascending">
      <items count="51">
        <item x="49"/>
        <item x="27"/>
        <item x="36"/>
        <item x="44"/>
        <item x="0"/>
        <item x="5"/>
        <item x="33"/>
        <item x="18"/>
        <item x="23"/>
        <item x="6"/>
        <item x="14"/>
        <item x="40"/>
        <item x="9"/>
        <item x="24"/>
        <item x="16"/>
        <item x="37"/>
        <item x="34"/>
        <item x="32"/>
        <item x="4"/>
        <item x="17"/>
        <item x="15"/>
        <item x="26"/>
        <item x="8"/>
        <item x="35"/>
        <item x="10"/>
        <item x="21"/>
        <item x="38"/>
        <item x="42"/>
        <item x="7"/>
        <item x="22"/>
        <item x="43"/>
        <item x="12"/>
        <item x="31"/>
        <item x="45"/>
        <item x="3"/>
        <item x="2"/>
        <item x="47"/>
        <item x="11"/>
        <item x="28"/>
        <item x="20"/>
        <item x="41"/>
        <item x="1"/>
        <item x="30"/>
        <item x="39"/>
        <item x="48"/>
        <item x="13"/>
        <item x="25"/>
        <item x="46"/>
        <item x="19"/>
        <item x="29"/>
        <item t="default"/>
      </items>
      <autoSortScope>
        <pivotArea dataOnly="0" outline="0" fieldPosition="0">
          <references count="1">
            <reference field="4294967294" count="1" selected="0">
              <x v="0"/>
            </reference>
          </references>
        </pivotArea>
      </autoSortScope>
    </pivotField>
    <pivotField showAll="0">
      <items count="5">
        <item x="2"/>
        <item x="1"/>
        <item x="0"/>
        <item x="3"/>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showAll="0">
      <items count="5">
        <item x="3"/>
        <item x="1"/>
        <item x="0"/>
        <item x="2"/>
        <item t="default"/>
      </items>
    </pivotField>
    <pivotField dataField="1" showAll="0">
      <items count="27">
        <item x="20"/>
        <item x="5"/>
        <item x="12"/>
        <item x="10"/>
        <item x="16"/>
        <item x="25"/>
        <item x="24"/>
        <item x="3"/>
        <item x="8"/>
        <item x="21"/>
        <item x="14"/>
        <item x="18"/>
        <item x="1"/>
        <item x="19"/>
        <item x="15"/>
        <item x="7"/>
        <item x="2"/>
        <item x="11"/>
        <item x="13"/>
        <item x="0"/>
        <item x="6"/>
        <item x="23"/>
        <item x="9"/>
        <item x="4"/>
        <item x="17"/>
        <item x="22"/>
        <item t="default"/>
      </items>
    </pivotField>
    <pivotField showAll="0"/>
  </pivotFields>
  <rowFields count="1">
    <field x="1"/>
  </rowFields>
  <rowItems count="6">
    <i>
      <x v="16"/>
    </i>
    <i>
      <x v="18"/>
    </i>
    <i>
      <x v="19"/>
    </i>
    <i>
      <x v="33"/>
    </i>
    <i>
      <x v="46"/>
    </i>
    <i t="grand">
      <x/>
    </i>
  </rowItems>
  <colItems count="1">
    <i/>
  </colItems>
  <dataFields count="1">
    <dataField name="Sum of Productivity_Index" fld="1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F1E78C-D294-42F6-BA33-6288B25BB07E}"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6:F7" firstHeaderRow="1" firstDataRow="1" firstDataCol="0"/>
  <pivotFields count="15">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2"/>
        <item x="1"/>
        <item x="0"/>
        <item x="3"/>
        <item t="default"/>
      </items>
    </pivotField>
    <pivotField showAll="0"/>
    <pivotField showAll="0"/>
    <pivotField showAll="0"/>
    <pivotField showAll="0">
      <items count="4">
        <item x="0"/>
        <item x="2"/>
        <item x="1"/>
        <item t="default"/>
      </items>
    </pivotField>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Avg_Daily_Hours"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E5A4B5F-E1FA-4B25-BD06-F5EA84121C47}" autoFormatId="16" applyNumberFormats="0" applyBorderFormats="0" applyFontFormats="0" applyPatternFormats="0" applyAlignmentFormats="0" applyWidthHeightFormats="0">
  <queryTableRefresh nextId="16">
    <queryTableFields count="15">
      <queryTableField id="1" name="Employee_ID" tableColumnId="1"/>
      <queryTableField id="2" name="Name" tableColumnId="2"/>
      <queryTableField id="3" name="Department" tableColumnId="3"/>
      <queryTableField id="4" name="Age" tableColumnId="4"/>
      <queryTableField id="5" name="Gender" tableColumnId="5"/>
      <queryTableField id="6" name="Experience_Years" tableColumnId="6"/>
      <queryTableField id="7" name="Work_Mode" tableColumnId="7"/>
      <queryTableField id="8" name="Projects_Completed" tableColumnId="8"/>
      <queryTableField id="9" name="Avg_Daily_Hours" tableColumnId="9"/>
      <queryTableField id="10" name="Performance_Score" tableColumnId="10"/>
      <queryTableField id="11" name="Sick_Days" tableColumnId="11"/>
      <queryTableField id="12" name="Training_Hours" tableColumnId="12"/>
      <queryTableField id="13" name="Job_Satisfaction" tableColumnId="13"/>
      <queryTableField id="14" name="Productivity_Index" tableColumnId="14"/>
      <queryTableField id="15" name="Performance_Level"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CCE35BC-CBDD-422D-9708-915C0D585B0D}" sourceName="Gender">
  <pivotTables>
    <pivotTable tabId="4" name="PivotTable4"/>
  </pivotTables>
  <data>
    <tabular pivotCacheId="120906525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78B8FA5-796E-410A-ACD9-B6D19E57A553}" sourceName="Department">
  <pivotTables>
    <pivotTable tabId="4" name="PivotTable4"/>
    <pivotTable tabId="4" name="PivotTable10"/>
    <pivotTable tabId="4" name="PivotTable2"/>
    <pivotTable tabId="4" name="PivotTable3"/>
    <pivotTable tabId="4" name="PivotTable5"/>
    <pivotTable tabId="4" name="PivotTable6"/>
    <pivotTable tabId="4" name="PivotTable7"/>
    <pivotTable tabId="4" name="PivotTable8"/>
    <pivotTable tabId="4" name="PivotTable9"/>
  </pivotTables>
  <data>
    <tabular pivotCacheId="1209065252">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Mode" xr10:uid="{EE4EF57D-B9D9-4ECB-98F6-359193F0DD14}" sourceName="Work_Mode">
  <pivotTables>
    <pivotTable tabId="4" name="PivotTable4"/>
    <pivotTable tabId="4" name="PivotTable10"/>
    <pivotTable tabId="4" name="PivotTable2"/>
    <pivotTable tabId="4" name="PivotTable3"/>
    <pivotTable tabId="4" name="PivotTable5"/>
    <pivotTable tabId="4" name="PivotTable6"/>
    <pivotTable tabId="4" name="PivotTable7"/>
    <pivotTable tabId="4" name="PivotTable8"/>
    <pivotTable tabId="4" name="PivotTable9"/>
  </pivotTables>
  <data>
    <tabular pivotCacheId="120906525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FDB2E01-C8E4-4091-AD85-5167D0934A6B}"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F662CEA-997A-4736-8AE0-FEB6F10724BB}" cache="Slicer_Department" caption="Department" startItem="2" style="Slicer Style 2" rowHeight="241300"/>
  <slicer name="Work_Mode" xr10:uid="{5B1F375B-DB6B-4382-B5FE-833A36289A14}" cache="Slicer_Work_Mode" caption="Work_Mode" style="Slicer Style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60B6A2-D657-448D-94A9-92B29822F63C}" name="employee_work_pattern_employee" displayName="employee_work_pattern_employee" ref="A1:O51" tableType="queryTable" totalsRowShown="0">
  <autoFilter ref="A1:O51" xr:uid="{3F084A93-504D-4CD9-B0C1-148D70F263D1}"/>
  <tableColumns count="15">
    <tableColumn id="1" xr3:uid="{8A5B7328-7CBE-4708-B868-B57CD28798C0}" uniqueName="1" name="Employee_ID" queryTableFieldId="1"/>
    <tableColumn id="2" xr3:uid="{1A0B1C10-65D4-4C73-8115-D8458128DE28}" uniqueName="2" name="Name" queryTableFieldId="2"/>
    <tableColumn id="3" xr3:uid="{4C826C03-2B62-46B3-B8FA-64035F60992A}" uniqueName="3" name="Department" queryTableFieldId="3"/>
    <tableColumn id="4" xr3:uid="{E19FAB70-B714-407E-AF2E-6D1C86062BCB}" uniqueName="4" name="Age" queryTableFieldId="4"/>
    <tableColumn id="5" xr3:uid="{17E1003B-A5D0-4E61-A6B0-E99DD8B1899D}" uniqueName="5" name="Gender" queryTableFieldId="5"/>
    <tableColumn id="6" xr3:uid="{FA4E86BA-E298-40AB-8B65-83A17138FCDF}" uniqueName="6" name="Experience_Years" queryTableFieldId="6"/>
    <tableColumn id="7" xr3:uid="{BD92DF28-7C1E-48E0-8C01-AEE271DD1CF1}" uniqueName="7" name="Work_Mode" queryTableFieldId="7"/>
    <tableColumn id="8" xr3:uid="{FA0EC362-441C-4337-AAE3-90333DD703C3}" uniqueName="8" name="Projects_Completed" queryTableFieldId="8"/>
    <tableColumn id="9" xr3:uid="{71719B76-073F-47EA-B639-A7FE6B15812E}" uniqueName="9" name="Avg_Daily_Hours" queryTableFieldId="9"/>
    <tableColumn id="10" xr3:uid="{57A11238-6C57-45CB-AF2A-1CBF2A174A3F}" uniqueName="10" name="Performance_Score" queryTableFieldId="10"/>
    <tableColumn id="11" xr3:uid="{CE75CC84-588D-41CB-83ED-A305E42BB8FB}" uniqueName="11" name="Sick_Days" queryTableFieldId="11"/>
    <tableColumn id="12" xr3:uid="{36E2E87E-D7D1-46CA-8B6A-A38CF43C95AB}" uniqueName="12" name="Training_Hours" queryTableFieldId="12"/>
    <tableColumn id="13" xr3:uid="{95567D64-D1CB-4EC2-BA0A-B2C16358FCF3}" uniqueName="13" name="Job_Satisfaction" queryTableFieldId="13"/>
    <tableColumn id="14" xr3:uid="{6C7B0861-FAA2-4DB7-89B9-34416F183404}" uniqueName="14" name="Productivity_Index" queryTableFieldId="14"/>
    <tableColumn id="15" xr3:uid="{B0D39C37-3AAF-49A2-A9DB-7D96B14CE2E6}" uniqueName="15" name="Performance_Level"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CD882-6972-4F18-B2E6-3EA8C95B4A6F}">
  <dimension ref="A2:G37"/>
  <sheetViews>
    <sheetView workbookViewId="0">
      <selection activeCell="E4" sqref="E4"/>
    </sheetView>
  </sheetViews>
  <sheetFormatPr defaultRowHeight="15" x14ac:dyDescent="0.25"/>
  <cols>
    <col min="1" max="1" width="13.140625" bestFit="1" customWidth="1"/>
    <col min="2" max="2" width="21" bestFit="1" customWidth="1"/>
    <col min="3" max="4" width="13.140625" bestFit="1" customWidth="1"/>
    <col min="5" max="5" width="24.7109375" bestFit="1" customWidth="1"/>
    <col min="6" max="6" width="26.42578125" bestFit="1" customWidth="1"/>
    <col min="7" max="7" width="28.85546875" bestFit="1" customWidth="1"/>
  </cols>
  <sheetData>
    <row r="2" spans="1:7" x14ac:dyDescent="0.25">
      <c r="A2" s="4" t="s">
        <v>130</v>
      </c>
      <c r="C2" s="4" t="s">
        <v>131</v>
      </c>
    </row>
    <row r="3" spans="1:7" x14ac:dyDescent="0.25">
      <c r="A3" t="s">
        <v>129</v>
      </c>
      <c r="C3" s="1" t="s">
        <v>127</v>
      </c>
      <c r="D3" t="s">
        <v>129</v>
      </c>
      <c r="F3" t="s">
        <v>133</v>
      </c>
    </row>
    <row r="4" spans="1:7" x14ac:dyDescent="0.25">
      <c r="A4" s="3">
        <v>50</v>
      </c>
      <c r="C4" s="2" t="s">
        <v>25</v>
      </c>
      <c r="D4" s="3">
        <v>18</v>
      </c>
      <c r="F4" s="6">
        <v>83.428571428571431</v>
      </c>
    </row>
    <row r="5" spans="1:7" x14ac:dyDescent="0.25">
      <c r="A5">
        <f>GETPIVOTDATA("Employee_ID",$A$3)</f>
        <v>50</v>
      </c>
      <c r="C5" s="2" t="s">
        <v>19</v>
      </c>
      <c r="D5" s="3">
        <v>16</v>
      </c>
      <c r="F5" s="6">
        <f>GETPIVOTDATA("Performance_Score",$F$3)</f>
        <v>83.428571428571431</v>
      </c>
    </row>
    <row r="6" spans="1:7" x14ac:dyDescent="0.25">
      <c r="C6" s="2" t="s">
        <v>30</v>
      </c>
      <c r="D6" s="3">
        <v>16</v>
      </c>
      <c r="F6" t="s">
        <v>137</v>
      </c>
    </row>
    <row r="7" spans="1:7" x14ac:dyDescent="0.25">
      <c r="C7" s="2" t="s">
        <v>128</v>
      </c>
      <c r="D7" s="3">
        <v>50</v>
      </c>
      <c r="F7" s="3">
        <v>7.6</v>
      </c>
    </row>
    <row r="8" spans="1:7" x14ac:dyDescent="0.25">
      <c r="F8">
        <f>GETPIVOTDATA("Avg_Daily_Hours",$F$6)</f>
        <v>7.6</v>
      </c>
    </row>
    <row r="9" spans="1:7" x14ac:dyDescent="0.25">
      <c r="A9" s="4" t="s">
        <v>132</v>
      </c>
      <c r="C9" t="str">
        <f>C4</f>
        <v>Office</v>
      </c>
      <c r="D9">
        <f>GETPIVOTDATA("Employee_ID",$C$3,"Work_Mode",C9)</f>
        <v>18</v>
      </c>
      <c r="F9" t="s">
        <v>138</v>
      </c>
    </row>
    <row r="10" spans="1:7" x14ac:dyDescent="0.25">
      <c r="A10" s="1" t="s">
        <v>127</v>
      </c>
      <c r="B10" t="s">
        <v>129</v>
      </c>
      <c r="C10" t="str">
        <f t="shared" ref="C10:C11" si="0">C5</f>
        <v>Remote</v>
      </c>
      <c r="D10">
        <f t="shared" ref="D10:D11" si="1">GETPIVOTDATA("Employee_ID",$C$3,"Work_Mode",C10)</f>
        <v>16</v>
      </c>
      <c r="F10" s="3">
        <v>523.46938775510205</v>
      </c>
    </row>
    <row r="11" spans="1:7" x14ac:dyDescent="0.25">
      <c r="A11" s="2" t="s">
        <v>17</v>
      </c>
      <c r="B11" s="3">
        <v>14</v>
      </c>
      <c r="C11" t="str">
        <f t="shared" si="0"/>
        <v>Hybrid</v>
      </c>
      <c r="D11">
        <f t="shared" si="1"/>
        <v>16</v>
      </c>
      <c r="F11" s="6">
        <f>GETPIVOTDATA("Projects_Completed",$F$9)</f>
        <v>523.46938775510205</v>
      </c>
    </row>
    <row r="12" spans="1:7" x14ac:dyDescent="0.25">
      <c r="A12" s="2" t="s">
        <v>35</v>
      </c>
      <c r="B12" s="3">
        <v>12</v>
      </c>
    </row>
    <row r="13" spans="1:7" x14ac:dyDescent="0.25">
      <c r="A13" s="2" t="s">
        <v>29</v>
      </c>
      <c r="B13" s="3">
        <v>12</v>
      </c>
    </row>
    <row r="14" spans="1:7" x14ac:dyDescent="0.25">
      <c r="A14" s="2" t="s">
        <v>23</v>
      </c>
      <c r="B14" s="3">
        <v>12</v>
      </c>
      <c r="F14" s="4" t="s">
        <v>134</v>
      </c>
    </row>
    <row r="15" spans="1:7" x14ac:dyDescent="0.25">
      <c r="A15" s="2" t="s">
        <v>128</v>
      </c>
      <c r="B15" s="3">
        <v>50</v>
      </c>
      <c r="F15" s="1" t="s">
        <v>127</v>
      </c>
      <c r="G15" t="s">
        <v>133</v>
      </c>
    </row>
    <row r="16" spans="1:7" x14ac:dyDescent="0.25">
      <c r="F16" s="2" t="s">
        <v>29</v>
      </c>
      <c r="G16" s="3">
        <v>83.166666666666671</v>
      </c>
    </row>
    <row r="17" spans="1:7" x14ac:dyDescent="0.25">
      <c r="A17" s="5" t="s">
        <v>135</v>
      </c>
      <c r="F17" s="2" t="s">
        <v>23</v>
      </c>
      <c r="G17" s="3">
        <v>79.166666666666671</v>
      </c>
    </row>
    <row r="18" spans="1:7" x14ac:dyDescent="0.25">
      <c r="A18" s="1" t="s">
        <v>127</v>
      </c>
      <c r="B18" t="s">
        <v>129</v>
      </c>
      <c r="C18" s="1"/>
      <c r="F18" s="2" t="s">
        <v>17</v>
      </c>
      <c r="G18" s="3">
        <v>87.357142857142861</v>
      </c>
    </row>
    <row r="19" spans="1:7" x14ac:dyDescent="0.25">
      <c r="A19" s="2">
        <v>2</v>
      </c>
      <c r="B19" s="3">
        <v>5</v>
      </c>
      <c r="F19" s="2" t="s">
        <v>35</v>
      </c>
      <c r="G19" s="3">
        <v>83.36904761904762</v>
      </c>
    </row>
    <row r="20" spans="1:7" x14ac:dyDescent="0.25">
      <c r="A20" s="2">
        <v>3</v>
      </c>
      <c r="B20" s="3">
        <v>17</v>
      </c>
      <c r="F20" s="2" t="s">
        <v>128</v>
      </c>
      <c r="G20" s="3">
        <v>83.428571428571431</v>
      </c>
    </row>
    <row r="21" spans="1:7" x14ac:dyDescent="0.25">
      <c r="A21" s="2">
        <v>4</v>
      </c>
      <c r="B21" s="3">
        <v>20</v>
      </c>
    </row>
    <row r="22" spans="1:7" x14ac:dyDescent="0.25">
      <c r="A22" s="2">
        <v>5</v>
      </c>
      <c r="B22" s="3">
        <v>8</v>
      </c>
      <c r="F22" t="str">
        <f>F16</f>
        <v>Finance</v>
      </c>
      <c r="G22" s="6">
        <f>GETPIVOTDATA("Performance_Score",$F$15,"Department",F22)</f>
        <v>83.166666666666671</v>
      </c>
    </row>
    <row r="23" spans="1:7" x14ac:dyDescent="0.25">
      <c r="A23" s="2" t="s">
        <v>128</v>
      </c>
      <c r="B23" s="3">
        <v>50</v>
      </c>
      <c r="F23" t="str">
        <f>F17</f>
        <v>HR</v>
      </c>
      <c r="G23" s="6">
        <f>GETPIVOTDATA("Performance_Score",$F$15,"Department",F23)</f>
        <v>79.166666666666671</v>
      </c>
    </row>
    <row r="24" spans="1:7" x14ac:dyDescent="0.25">
      <c r="F24" t="str">
        <f>F18</f>
        <v>IT</v>
      </c>
      <c r="G24" s="6">
        <f>GETPIVOTDATA("Performance_Score",$F$15,"Department",F24)</f>
        <v>87.357142857142861</v>
      </c>
    </row>
    <row r="25" spans="1:7" x14ac:dyDescent="0.25">
      <c r="F25" t="str">
        <f>F19</f>
        <v>Marketing</v>
      </c>
      <c r="G25" s="6">
        <f>GETPIVOTDATA("Performance_Score",$F$15,"Department",F25)</f>
        <v>83.36904761904762</v>
      </c>
    </row>
    <row r="30" spans="1:7" x14ac:dyDescent="0.25">
      <c r="D30" s="2" t="s">
        <v>139</v>
      </c>
    </row>
    <row r="31" spans="1:7" x14ac:dyDescent="0.25">
      <c r="D31" s="1" t="s">
        <v>127</v>
      </c>
      <c r="E31" t="s">
        <v>136</v>
      </c>
    </row>
    <row r="32" spans="1:7" x14ac:dyDescent="0.25">
      <c r="D32" s="2" t="s">
        <v>96</v>
      </c>
      <c r="E32" s="3">
        <v>13.8</v>
      </c>
    </row>
    <row r="33" spans="4:5" x14ac:dyDescent="0.25">
      <c r="D33" s="2" t="s">
        <v>34</v>
      </c>
      <c r="E33" s="3">
        <v>13.8</v>
      </c>
    </row>
    <row r="34" spans="4:5" x14ac:dyDescent="0.25">
      <c r="D34" s="2" t="s">
        <v>61</v>
      </c>
      <c r="E34" s="3">
        <v>14.88</v>
      </c>
    </row>
    <row r="35" spans="4:5" x14ac:dyDescent="0.25">
      <c r="D35" s="2" t="s">
        <v>118</v>
      </c>
      <c r="E35" s="3">
        <v>14.88</v>
      </c>
    </row>
    <row r="36" spans="4:5" x14ac:dyDescent="0.25">
      <c r="D36" s="2" t="s">
        <v>78</v>
      </c>
      <c r="E36" s="3">
        <v>15.04</v>
      </c>
    </row>
    <row r="37" spans="4:5" x14ac:dyDescent="0.25">
      <c r="D37" s="2" t="s">
        <v>128</v>
      </c>
      <c r="E37" s="3">
        <v>72.400000000000006</v>
      </c>
    </row>
  </sheetData>
  <sortState ref="F22:G25">
    <sortCondition descending="1" ref="G25"/>
  </sortState>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B86C7-DB27-450B-AF8C-3C2038A164A4}">
  <dimension ref="A1:O51"/>
  <sheetViews>
    <sheetView topLeftCell="A2" workbookViewId="0">
      <selection activeCell="F14" sqref="A2:O51"/>
    </sheetView>
  </sheetViews>
  <sheetFormatPr defaultRowHeight="15" x14ac:dyDescent="0.25"/>
  <cols>
    <col min="1" max="1" width="15" bestFit="1" customWidth="1"/>
    <col min="2" max="2" width="8.5703125" bestFit="1" customWidth="1"/>
    <col min="3" max="3" width="14" bestFit="1" customWidth="1"/>
    <col min="4" max="4" width="12" bestFit="1" customWidth="1"/>
    <col min="5" max="5" width="10" bestFit="1" customWidth="1"/>
    <col min="6" max="6" width="19.140625" bestFit="1" customWidth="1"/>
    <col min="7" max="7" width="14.42578125" bestFit="1" customWidth="1"/>
    <col min="8" max="8" width="21.5703125" bestFit="1" customWidth="1"/>
    <col min="9" max="9" width="18.28515625" bestFit="1" customWidth="1"/>
    <col min="10" max="10" width="20.85546875" bestFit="1" customWidth="1"/>
    <col min="11" max="11" width="11.85546875" bestFit="1" customWidth="1"/>
    <col min="12" max="12" width="16.7109375" bestFit="1" customWidth="1"/>
    <col min="13" max="13" width="17.7109375" bestFit="1" customWidth="1"/>
    <col min="14" max="14" width="20.28515625" bestFit="1" customWidth="1"/>
    <col min="15" max="15" width="20.710937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t="s">
        <v>16</v>
      </c>
      <c r="C2" t="s">
        <v>17</v>
      </c>
      <c r="D2">
        <v>29</v>
      </c>
      <c r="E2" t="s">
        <v>18</v>
      </c>
      <c r="F2">
        <v>5</v>
      </c>
      <c r="G2" t="s">
        <v>19</v>
      </c>
      <c r="H2">
        <v>12</v>
      </c>
      <c r="I2">
        <v>8</v>
      </c>
      <c r="J2">
        <v>88</v>
      </c>
      <c r="K2">
        <v>3</v>
      </c>
      <c r="L2">
        <v>20</v>
      </c>
      <c r="M2">
        <v>4</v>
      </c>
      <c r="N2">
        <v>10.56</v>
      </c>
      <c r="O2" t="s">
        <v>20</v>
      </c>
    </row>
    <row r="3" spans="1:15" x14ac:dyDescent="0.25">
      <c r="A3" t="s">
        <v>21</v>
      </c>
      <c r="B3" t="s">
        <v>22</v>
      </c>
      <c r="C3" t="s">
        <v>23</v>
      </c>
      <c r="D3">
        <v>34</v>
      </c>
      <c r="E3" t="s">
        <v>24</v>
      </c>
      <c r="F3">
        <v>8</v>
      </c>
      <c r="G3" t="s">
        <v>25</v>
      </c>
      <c r="H3">
        <v>9</v>
      </c>
      <c r="I3">
        <v>7</v>
      </c>
      <c r="J3">
        <v>82</v>
      </c>
      <c r="K3">
        <v>5</v>
      </c>
      <c r="L3">
        <v>15</v>
      </c>
      <c r="M3">
        <v>3</v>
      </c>
      <c r="N3">
        <v>7.38</v>
      </c>
      <c r="O3" t="s">
        <v>26</v>
      </c>
    </row>
    <row r="4" spans="1:15" x14ac:dyDescent="0.25">
      <c r="A4" t="s">
        <v>27</v>
      </c>
      <c r="B4" t="s">
        <v>28</v>
      </c>
      <c r="C4" t="s">
        <v>29</v>
      </c>
      <c r="D4">
        <v>31</v>
      </c>
      <c r="E4" t="s">
        <v>18</v>
      </c>
      <c r="F4">
        <v>6</v>
      </c>
      <c r="G4" t="s">
        <v>30</v>
      </c>
      <c r="H4">
        <v>11</v>
      </c>
      <c r="I4">
        <v>8</v>
      </c>
      <c r="J4">
        <v>85</v>
      </c>
      <c r="K4">
        <v>2</v>
      </c>
      <c r="L4">
        <v>18</v>
      </c>
      <c r="M4">
        <v>4</v>
      </c>
      <c r="N4">
        <v>9.35</v>
      </c>
      <c r="O4" t="s">
        <v>26</v>
      </c>
    </row>
    <row r="5" spans="1:15" x14ac:dyDescent="0.25">
      <c r="A5" t="s">
        <v>31</v>
      </c>
      <c r="B5" t="s">
        <v>32</v>
      </c>
      <c r="C5" t="s">
        <v>17</v>
      </c>
      <c r="D5">
        <v>27</v>
      </c>
      <c r="E5" t="s">
        <v>24</v>
      </c>
      <c r="F5">
        <v>3</v>
      </c>
      <c r="G5" t="s">
        <v>19</v>
      </c>
      <c r="H5">
        <v>8</v>
      </c>
      <c r="I5">
        <v>7</v>
      </c>
      <c r="J5">
        <v>80</v>
      </c>
      <c r="K5">
        <v>1</v>
      </c>
      <c r="L5">
        <v>12</v>
      </c>
      <c r="M5">
        <v>3</v>
      </c>
      <c r="N5">
        <v>6.4</v>
      </c>
      <c r="O5" t="s">
        <v>26</v>
      </c>
    </row>
    <row r="6" spans="1:15" x14ac:dyDescent="0.25">
      <c r="A6" t="s">
        <v>33</v>
      </c>
      <c r="B6" t="s">
        <v>34</v>
      </c>
      <c r="C6" t="s">
        <v>35</v>
      </c>
      <c r="D6">
        <v>36</v>
      </c>
      <c r="E6" t="s">
        <v>18</v>
      </c>
      <c r="F6">
        <v>10</v>
      </c>
      <c r="G6" t="s">
        <v>25</v>
      </c>
      <c r="H6">
        <v>15</v>
      </c>
      <c r="I6">
        <v>9</v>
      </c>
      <c r="J6">
        <v>92</v>
      </c>
      <c r="K6">
        <v>4</v>
      </c>
      <c r="L6">
        <v>22</v>
      </c>
      <c r="M6">
        <v>5</v>
      </c>
      <c r="N6">
        <v>13.8</v>
      </c>
      <c r="O6" t="s">
        <v>20</v>
      </c>
    </row>
    <row r="7" spans="1:15" x14ac:dyDescent="0.25">
      <c r="A7" t="s">
        <v>36</v>
      </c>
      <c r="B7" t="s">
        <v>37</v>
      </c>
      <c r="C7" t="s">
        <v>23</v>
      </c>
      <c r="D7">
        <v>28</v>
      </c>
      <c r="E7" t="s">
        <v>24</v>
      </c>
      <c r="F7">
        <v>4</v>
      </c>
      <c r="G7" t="s">
        <v>30</v>
      </c>
      <c r="H7">
        <v>7</v>
      </c>
      <c r="I7">
        <v>7</v>
      </c>
      <c r="J7">
        <v>75</v>
      </c>
      <c r="K7">
        <v>6</v>
      </c>
      <c r="L7">
        <v>10</v>
      </c>
      <c r="M7">
        <v>2</v>
      </c>
      <c r="N7">
        <v>5.25</v>
      </c>
      <c r="O7" t="s">
        <v>26</v>
      </c>
    </row>
    <row r="8" spans="1:15" x14ac:dyDescent="0.25">
      <c r="A8" t="s">
        <v>38</v>
      </c>
      <c r="B8" t="s">
        <v>39</v>
      </c>
      <c r="C8" t="s">
        <v>17</v>
      </c>
      <c r="D8">
        <v>30</v>
      </c>
      <c r="E8" t="s">
        <v>18</v>
      </c>
      <c r="F8">
        <v>6</v>
      </c>
      <c r="G8" t="s">
        <v>19</v>
      </c>
      <c r="H8">
        <v>13</v>
      </c>
      <c r="I8">
        <v>8</v>
      </c>
      <c r="J8">
        <v>89</v>
      </c>
      <c r="K8">
        <v>2</v>
      </c>
      <c r="L8">
        <v>20</v>
      </c>
      <c r="M8">
        <v>4</v>
      </c>
      <c r="N8">
        <v>11.57</v>
      </c>
      <c r="O8" t="s">
        <v>20</v>
      </c>
    </row>
    <row r="9" spans="1:15" x14ac:dyDescent="0.25">
      <c r="A9" t="s">
        <v>40</v>
      </c>
      <c r="B9" t="s">
        <v>41</v>
      </c>
      <c r="C9" t="s">
        <v>29</v>
      </c>
      <c r="D9">
        <v>33</v>
      </c>
      <c r="E9" t="s">
        <v>24</v>
      </c>
      <c r="F9">
        <v>7</v>
      </c>
      <c r="G9" t="s">
        <v>25</v>
      </c>
      <c r="H9">
        <v>10</v>
      </c>
      <c r="I9">
        <v>8</v>
      </c>
      <c r="J9">
        <v>84</v>
      </c>
      <c r="K9">
        <v>3</v>
      </c>
      <c r="L9">
        <v>17</v>
      </c>
      <c r="M9">
        <v>4</v>
      </c>
      <c r="N9">
        <v>8.4</v>
      </c>
      <c r="O9" t="s">
        <v>26</v>
      </c>
    </row>
    <row r="10" spans="1:15" x14ac:dyDescent="0.25">
      <c r="A10" t="s">
        <v>42</v>
      </c>
      <c r="B10" t="s">
        <v>43</v>
      </c>
      <c r="C10" t="s">
        <v>35</v>
      </c>
      <c r="D10">
        <v>29</v>
      </c>
      <c r="E10" t="s">
        <v>18</v>
      </c>
      <c r="F10">
        <v>5</v>
      </c>
      <c r="G10" t="s">
        <v>30</v>
      </c>
      <c r="H10">
        <v>9</v>
      </c>
      <c r="I10">
        <v>7</v>
      </c>
      <c r="J10">
        <v>78</v>
      </c>
      <c r="K10">
        <v>4</v>
      </c>
      <c r="L10">
        <v>14</v>
      </c>
      <c r="M10">
        <v>3</v>
      </c>
      <c r="N10">
        <v>7.02</v>
      </c>
      <c r="O10" t="s">
        <v>26</v>
      </c>
    </row>
    <row r="11" spans="1:15" x14ac:dyDescent="0.25">
      <c r="A11" t="s">
        <v>44</v>
      </c>
      <c r="B11" t="s">
        <v>45</v>
      </c>
      <c r="C11" t="s">
        <v>17</v>
      </c>
      <c r="D11">
        <v>35</v>
      </c>
      <c r="E11" t="s">
        <v>18</v>
      </c>
      <c r="F11">
        <v>9</v>
      </c>
      <c r="G11" t="s">
        <v>25</v>
      </c>
      <c r="H11">
        <v>14</v>
      </c>
      <c r="I11">
        <v>8</v>
      </c>
      <c r="J11">
        <v>91</v>
      </c>
      <c r="K11">
        <v>2</v>
      </c>
      <c r="L11">
        <v>21</v>
      </c>
      <c r="M11">
        <v>5</v>
      </c>
      <c r="N11">
        <v>12.74</v>
      </c>
      <c r="O11" t="s">
        <v>20</v>
      </c>
    </row>
    <row r="12" spans="1:15" x14ac:dyDescent="0.25">
      <c r="A12" t="s">
        <v>46</v>
      </c>
      <c r="B12" t="s">
        <v>47</v>
      </c>
      <c r="C12" t="s">
        <v>23</v>
      </c>
      <c r="D12">
        <v>31.142857142857142</v>
      </c>
      <c r="E12" t="s">
        <v>24</v>
      </c>
      <c r="F12">
        <v>6</v>
      </c>
      <c r="G12" t="s">
        <v>19</v>
      </c>
      <c r="H12">
        <v>8</v>
      </c>
      <c r="I12">
        <v>7</v>
      </c>
      <c r="J12">
        <v>76</v>
      </c>
      <c r="K12">
        <v>5</v>
      </c>
      <c r="L12">
        <v>13</v>
      </c>
      <c r="M12">
        <v>3</v>
      </c>
      <c r="N12">
        <v>6.08</v>
      </c>
      <c r="O12" t="s">
        <v>26</v>
      </c>
    </row>
    <row r="13" spans="1:15" x14ac:dyDescent="0.25">
      <c r="A13" t="s">
        <v>48</v>
      </c>
      <c r="B13" t="s">
        <v>49</v>
      </c>
      <c r="C13" t="s">
        <v>29</v>
      </c>
      <c r="D13">
        <v>32</v>
      </c>
      <c r="E13" t="s">
        <v>18</v>
      </c>
      <c r="F13">
        <v>6</v>
      </c>
      <c r="G13" t="s">
        <v>30</v>
      </c>
      <c r="H13">
        <v>11</v>
      </c>
      <c r="I13">
        <v>8</v>
      </c>
      <c r="J13">
        <v>86</v>
      </c>
      <c r="K13">
        <v>3</v>
      </c>
      <c r="L13">
        <v>18</v>
      </c>
      <c r="M13">
        <v>4</v>
      </c>
      <c r="N13">
        <v>9.4600000000000009</v>
      </c>
      <c r="O13" t="s">
        <v>20</v>
      </c>
    </row>
    <row r="14" spans="1:15" x14ac:dyDescent="0.25">
      <c r="A14" t="s">
        <v>50</v>
      </c>
      <c r="B14" t="s">
        <v>51</v>
      </c>
      <c r="C14" t="s">
        <v>35</v>
      </c>
      <c r="D14">
        <v>26</v>
      </c>
      <c r="E14" t="s">
        <v>24</v>
      </c>
      <c r="F14">
        <v>3</v>
      </c>
      <c r="G14" t="s">
        <v>25</v>
      </c>
      <c r="H14">
        <v>7</v>
      </c>
      <c r="I14">
        <v>7</v>
      </c>
      <c r="J14">
        <v>83.428571428571431</v>
      </c>
      <c r="K14">
        <v>4</v>
      </c>
      <c r="L14">
        <v>12</v>
      </c>
      <c r="M14">
        <v>3</v>
      </c>
      <c r="N14">
        <v>5.84</v>
      </c>
      <c r="O14" t="s">
        <v>26</v>
      </c>
    </row>
    <row r="15" spans="1:15" x14ac:dyDescent="0.25">
      <c r="A15" t="s">
        <v>52</v>
      </c>
      <c r="B15" t="s">
        <v>53</v>
      </c>
      <c r="C15" t="s">
        <v>17</v>
      </c>
      <c r="D15">
        <v>31</v>
      </c>
      <c r="E15" t="s">
        <v>18</v>
      </c>
      <c r="F15">
        <v>7</v>
      </c>
      <c r="G15" t="s">
        <v>19</v>
      </c>
      <c r="H15">
        <v>12</v>
      </c>
      <c r="I15">
        <v>8</v>
      </c>
      <c r="J15">
        <v>87</v>
      </c>
      <c r="K15">
        <v>0</v>
      </c>
      <c r="L15">
        <v>19</v>
      </c>
      <c r="M15">
        <v>4</v>
      </c>
      <c r="N15">
        <v>10.44</v>
      </c>
      <c r="O15" t="s">
        <v>20</v>
      </c>
    </row>
    <row r="16" spans="1:15" x14ac:dyDescent="0.25">
      <c r="A16" t="s">
        <v>54</v>
      </c>
      <c r="B16" t="s">
        <v>55</v>
      </c>
      <c r="C16" t="s">
        <v>23</v>
      </c>
      <c r="D16">
        <v>29</v>
      </c>
      <c r="E16" t="s">
        <v>24</v>
      </c>
      <c r="F16">
        <v>5</v>
      </c>
      <c r="G16" t="s">
        <v>30</v>
      </c>
      <c r="H16">
        <v>9</v>
      </c>
      <c r="I16">
        <v>7</v>
      </c>
      <c r="J16">
        <v>80</v>
      </c>
      <c r="K16">
        <v>3</v>
      </c>
      <c r="L16">
        <v>16.551020408163264</v>
      </c>
      <c r="M16">
        <v>3</v>
      </c>
      <c r="N16">
        <v>7.2</v>
      </c>
      <c r="O16" t="s">
        <v>26</v>
      </c>
    </row>
    <row r="17" spans="1:15" x14ac:dyDescent="0.25">
      <c r="A17" t="s">
        <v>56</v>
      </c>
      <c r="B17" t="s">
        <v>57</v>
      </c>
      <c r="C17" t="s">
        <v>29</v>
      </c>
      <c r="D17">
        <v>34</v>
      </c>
      <c r="E17" t="s">
        <v>18</v>
      </c>
      <c r="F17">
        <v>8</v>
      </c>
      <c r="G17" t="s">
        <v>25</v>
      </c>
      <c r="H17">
        <v>10</v>
      </c>
      <c r="I17">
        <v>7</v>
      </c>
      <c r="J17">
        <v>83</v>
      </c>
      <c r="K17">
        <v>2</v>
      </c>
      <c r="L17">
        <v>17</v>
      </c>
      <c r="M17">
        <v>4</v>
      </c>
      <c r="N17">
        <v>8.3000000000000007</v>
      </c>
      <c r="O17" t="s">
        <v>26</v>
      </c>
    </row>
    <row r="18" spans="1:15" x14ac:dyDescent="0.25">
      <c r="A18" t="s">
        <v>58</v>
      </c>
      <c r="B18" t="s">
        <v>59</v>
      </c>
      <c r="C18" t="s">
        <v>35</v>
      </c>
      <c r="D18">
        <v>27</v>
      </c>
      <c r="E18" t="s">
        <v>24</v>
      </c>
      <c r="F18">
        <v>4</v>
      </c>
      <c r="G18" t="s">
        <v>19</v>
      </c>
      <c r="H18">
        <v>8</v>
      </c>
      <c r="I18">
        <v>7</v>
      </c>
      <c r="J18">
        <v>77</v>
      </c>
      <c r="K18">
        <v>5</v>
      </c>
      <c r="L18">
        <v>11</v>
      </c>
      <c r="M18">
        <v>4</v>
      </c>
      <c r="N18">
        <v>6.16</v>
      </c>
      <c r="O18" t="s">
        <v>26</v>
      </c>
    </row>
    <row r="19" spans="1:15" x14ac:dyDescent="0.25">
      <c r="A19" t="s">
        <v>60</v>
      </c>
      <c r="B19" t="s">
        <v>61</v>
      </c>
      <c r="C19" t="s">
        <v>17</v>
      </c>
      <c r="D19">
        <v>36</v>
      </c>
      <c r="E19" t="s">
        <v>18</v>
      </c>
      <c r="F19">
        <v>11</v>
      </c>
      <c r="G19" t="s">
        <v>25</v>
      </c>
      <c r="H19">
        <v>16</v>
      </c>
      <c r="I19">
        <v>9</v>
      </c>
      <c r="J19">
        <v>93</v>
      </c>
      <c r="K19">
        <v>2</v>
      </c>
      <c r="L19">
        <v>24</v>
      </c>
      <c r="M19">
        <v>5</v>
      </c>
      <c r="N19">
        <v>14.88</v>
      </c>
      <c r="O19" t="s">
        <v>20</v>
      </c>
    </row>
    <row r="20" spans="1:15" x14ac:dyDescent="0.25">
      <c r="A20" t="s">
        <v>62</v>
      </c>
      <c r="B20" t="s">
        <v>63</v>
      </c>
      <c r="C20" t="s">
        <v>23</v>
      </c>
      <c r="D20">
        <v>30</v>
      </c>
      <c r="E20" t="s">
        <v>24</v>
      </c>
      <c r="F20">
        <v>6</v>
      </c>
      <c r="G20" t="s">
        <v>30</v>
      </c>
      <c r="H20">
        <v>9</v>
      </c>
      <c r="I20">
        <v>7</v>
      </c>
      <c r="J20">
        <v>81</v>
      </c>
      <c r="K20">
        <v>4</v>
      </c>
      <c r="L20">
        <v>14</v>
      </c>
      <c r="M20">
        <v>3</v>
      </c>
      <c r="N20">
        <v>7.29</v>
      </c>
      <c r="O20" t="s">
        <v>26</v>
      </c>
    </row>
    <row r="21" spans="1:15" x14ac:dyDescent="0.25">
      <c r="A21" t="s">
        <v>64</v>
      </c>
      <c r="B21" t="s">
        <v>65</v>
      </c>
      <c r="C21" t="s">
        <v>29</v>
      </c>
      <c r="D21">
        <v>28</v>
      </c>
      <c r="E21" t="s">
        <v>18</v>
      </c>
      <c r="F21">
        <v>4</v>
      </c>
      <c r="G21" t="s">
        <v>19</v>
      </c>
      <c r="H21">
        <v>10.469387755102041</v>
      </c>
      <c r="I21">
        <v>7</v>
      </c>
      <c r="J21">
        <v>79</v>
      </c>
      <c r="K21">
        <v>3</v>
      </c>
      <c r="L21">
        <v>13</v>
      </c>
      <c r="M21">
        <v>3</v>
      </c>
      <c r="N21">
        <v>8.2708163265306123</v>
      </c>
      <c r="O21" t="s">
        <v>26</v>
      </c>
    </row>
    <row r="22" spans="1:15" x14ac:dyDescent="0.25">
      <c r="A22" t="s">
        <v>66</v>
      </c>
      <c r="B22" t="s">
        <v>67</v>
      </c>
      <c r="C22" t="s">
        <v>35</v>
      </c>
      <c r="D22">
        <v>31</v>
      </c>
      <c r="E22" t="s">
        <v>24</v>
      </c>
      <c r="F22">
        <v>6</v>
      </c>
      <c r="G22" t="s">
        <v>25</v>
      </c>
      <c r="H22">
        <v>11</v>
      </c>
      <c r="I22">
        <v>8</v>
      </c>
      <c r="J22">
        <v>86</v>
      </c>
      <c r="K22">
        <v>2</v>
      </c>
      <c r="L22">
        <v>18</v>
      </c>
      <c r="M22">
        <v>4</v>
      </c>
      <c r="N22">
        <v>9.4600000000000009</v>
      </c>
      <c r="O22" t="s">
        <v>20</v>
      </c>
    </row>
    <row r="23" spans="1:15" x14ac:dyDescent="0.25">
      <c r="A23" t="s">
        <v>68</v>
      </c>
      <c r="B23" t="s">
        <v>69</v>
      </c>
      <c r="C23" t="s">
        <v>17</v>
      </c>
      <c r="D23">
        <v>33</v>
      </c>
      <c r="E23" t="s">
        <v>18</v>
      </c>
      <c r="F23">
        <v>8</v>
      </c>
      <c r="G23" t="s">
        <v>30</v>
      </c>
      <c r="H23">
        <v>12</v>
      </c>
      <c r="I23">
        <v>8</v>
      </c>
      <c r="J23">
        <v>88</v>
      </c>
      <c r="K23">
        <v>3</v>
      </c>
      <c r="L23">
        <v>19</v>
      </c>
      <c r="M23">
        <v>4</v>
      </c>
      <c r="N23">
        <v>10.56</v>
      </c>
      <c r="O23" t="s">
        <v>20</v>
      </c>
    </row>
    <row r="24" spans="1:15" x14ac:dyDescent="0.25">
      <c r="A24" t="s">
        <v>70</v>
      </c>
      <c r="B24" t="s">
        <v>71</v>
      </c>
      <c r="C24" t="s">
        <v>23</v>
      </c>
      <c r="D24">
        <v>27</v>
      </c>
      <c r="E24" t="s">
        <v>24</v>
      </c>
      <c r="F24">
        <v>4</v>
      </c>
      <c r="G24" t="s">
        <v>19</v>
      </c>
      <c r="H24">
        <v>7</v>
      </c>
      <c r="I24">
        <v>7</v>
      </c>
      <c r="J24">
        <v>74</v>
      </c>
      <c r="K24">
        <v>6</v>
      </c>
      <c r="L24">
        <v>10</v>
      </c>
      <c r="M24">
        <v>2</v>
      </c>
      <c r="N24">
        <v>5.18</v>
      </c>
      <c r="O24" t="s">
        <v>72</v>
      </c>
    </row>
    <row r="25" spans="1:15" x14ac:dyDescent="0.25">
      <c r="A25" t="s">
        <v>73</v>
      </c>
      <c r="B25" t="s">
        <v>74</v>
      </c>
      <c r="C25" t="s">
        <v>29</v>
      </c>
      <c r="D25">
        <v>35</v>
      </c>
      <c r="E25" t="s">
        <v>18</v>
      </c>
      <c r="F25">
        <v>9</v>
      </c>
      <c r="G25" t="s">
        <v>25</v>
      </c>
      <c r="H25">
        <v>14</v>
      </c>
      <c r="I25">
        <v>8</v>
      </c>
      <c r="J25">
        <v>91</v>
      </c>
      <c r="K25">
        <v>2</v>
      </c>
      <c r="L25">
        <v>22</v>
      </c>
      <c r="M25">
        <v>5</v>
      </c>
      <c r="N25">
        <v>12.74</v>
      </c>
      <c r="O25" t="s">
        <v>20</v>
      </c>
    </row>
    <row r="26" spans="1:15" x14ac:dyDescent="0.25">
      <c r="A26" t="s">
        <v>75</v>
      </c>
      <c r="B26" t="s">
        <v>76</v>
      </c>
      <c r="C26" t="s">
        <v>35</v>
      </c>
      <c r="D26">
        <v>28</v>
      </c>
      <c r="E26" t="s">
        <v>24</v>
      </c>
      <c r="F26">
        <v>5</v>
      </c>
      <c r="G26" t="s">
        <v>30</v>
      </c>
      <c r="H26">
        <v>9</v>
      </c>
      <c r="I26">
        <v>7</v>
      </c>
      <c r="J26">
        <v>79</v>
      </c>
      <c r="K26">
        <v>4</v>
      </c>
      <c r="L26">
        <v>15</v>
      </c>
      <c r="M26">
        <v>3</v>
      </c>
      <c r="N26">
        <v>7.11</v>
      </c>
      <c r="O26" t="s">
        <v>26</v>
      </c>
    </row>
    <row r="27" spans="1:15" x14ac:dyDescent="0.25">
      <c r="A27" t="s">
        <v>77</v>
      </c>
      <c r="B27" t="s">
        <v>78</v>
      </c>
      <c r="C27" t="s">
        <v>17</v>
      </c>
      <c r="D27">
        <v>37</v>
      </c>
      <c r="E27" t="s">
        <v>18</v>
      </c>
      <c r="F27">
        <v>12</v>
      </c>
      <c r="G27" t="s">
        <v>25</v>
      </c>
      <c r="H27">
        <v>16</v>
      </c>
      <c r="I27">
        <v>9</v>
      </c>
      <c r="J27">
        <v>94</v>
      </c>
      <c r="K27">
        <v>2</v>
      </c>
      <c r="L27">
        <v>25</v>
      </c>
      <c r="M27">
        <v>5</v>
      </c>
      <c r="N27">
        <v>15.04</v>
      </c>
      <c r="O27" t="s">
        <v>20</v>
      </c>
    </row>
    <row r="28" spans="1:15" x14ac:dyDescent="0.25">
      <c r="A28" t="s">
        <v>79</v>
      </c>
      <c r="B28" t="s">
        <v>80</v>
      </c>
      <c r="C28" t="s">
        <v>23</v>
      </c>
      <c r="D28">
        <v>29</v>
      </c>
      <c r="E28" t="s">
        <v>24</v>
      </c>
      <c r="F28">
        <v>6</v>
      </c>
      <c r="G28" t="s">
        <v>19</v>
      </c>
      <c r="H28">
        <v>8</v>
      </c>
      <c r="I28">
        <v>7</v>
      </c>
      <c r="J28">
        <v>76</v>
      </c>
      <c r="K28">
        <v>5</v>
      </c>
      <c r="L28">
        <v>13</v>
      </c>
      <c r="M28">
        <v>3</v>
      </c>
      <c r="N28">
        <v>6.08</v>
      </c>
      <c r="O28" t="s">
        <v>26</v>
      </c>
    </row>
    <row r="29" spans="1:15" x14ac:dyDescent="0.25">
      <c r="A29" t="s">
        <v>81</v>
      </c>
      <c r="B29" t="s">
        <v>82</v>
      </c>
      <c r="C29" t="s">
        <v>29</v>
      </c>
      <c r="D29">
        <v>32</v>
      </c>
      <c r="E29" t="s">
        <v>18</v>
      </c>
      <c r="F29">
        <v>7</v>
      </c>
      <c r="G29" t="s">
        <v>30</v>
      </c>
      <c r="H29">
        <v>11</v>
      </c>
      <c r="I29">
        <v>8</v>
      </c>
      <c r="J29">
        <v>85</v>
      </c>
      <c r="K29">
        <v>3</v>
      </c>
      <c r="L29">
        <v>18</v>
      </c>
      <c r="M29">
        <v>4</v>
      </c>
      <c r="N29">
        <v>9.35</v>
      </c>
      <c r="O29" t="s">
        <v>26</v>
      </c>
    </row>
    <row r="30" spans="1:15" x14ac:dyDescent="0.25">
      <c r="A30" t="s">
        <v>83</v>
      </c>
      <c r="B30" t="s">
        <v>84</v>
      </c>
      <c r="C30" t="s">
        <v>35</v>
      </c>
      <c r="D30">
        <v>30</v>
      </c>
      <c r="E30" t="s">
        <v>24</v>
      </c>
      <c r="F30">
        <v>5</v>
      </c>
      <c r="G30" t="s">
        <v>25</v>
      </c>
      <c r="H30">
        <v>9</v>
      </c>
      <c r="I30">
        <v>7</v>
      </c>
      <c r="J30">
        <v>80</v>
      </c>
      <c r="K30">
        <v>4</v>
      </c>
      <c r="L30">
        <v>14</v>
      </c>
      <c r="M30">
        <v>3</v>
      </c>
      <c r="N30">
        <v>7.2</v>
      </c>
      <c r="O30" t="s">
        <v>26</v>
      </c>
    </row>
    <row r="31" spans="1:15" x14ac:dyDescent="0.25">
      <c r="A31" t="s">
        <v>85</v>
      </c>
      <c r="B31" t="s">
        <v>86</v>
      </c>
      <c r="C31" t="s">
        <v>17</v>
      </c>
      <c r="D31">
        <v>34</v>
      </c>
      <c r="E31" t="s">
        <v>18</v>
      </c>
      <c r="F31">
        <v>8</v>
      </c>
      <c r="G31" t="s">
        <v>19</v>
      </c>
      <c r="H31">
        <v>13</v>
      </c>
      <c r="I31">
        <v>8</v>
      </c>
      <c r="J31">
        <v>90</v>
      </c>
      <c r="K31">
        <v>2</v>
      </c>
      <c r="L31">
        <v>21</v>
      </c>
      <c r="M31">
        <v>4</v>
      </c>
      <c r="N31">
        <v>11.7</v>
      </c>
      <c r="O31" t="s">
        <v>20</v>
      </c>
    </row>
    <row r="32" spans="1:15" x14ac:dyDescent="0.25">
      <c r="A32" t="s">
        <v>87</v>
      </c>
      <c r="B32" t="s">
        <v>88</v>
      </c>
      <c r="C32" t="s">
        <v>23</v>
      </c>
      <c r="D32">
        <v>31</v>
      </c>
      <c r="E32" t="s">
        <v>18</v>
      </c>
      <c r="F32">
        <v>7</v>
      </c>
      <c r="G32" t="s">
        <v>30</v>
      </c>
      <c r="H32">
        <v>10</v>
      </c>
      <c r="I32">
        <v>8</v>
      </c>
      <c r="J32">
        <v>83</v>
      </c>
      <c r="K32">
        <v>3</v>
      </c>
      <c r="L32">
        <v>16</v>
      </c>
      <c r="M32">
        <v>4</v>
      </c>
      <c r="N32">
        <v>8.3000000000000007</v>
      </c>
      <c r="O32" t="s">
        <v>26</v>
      </c>
    </row>
    <row r="33" spans="1:15" x14ac:dyDescent="0.25">
      <c r="A33" t="s">
        <v>89</v>
      </c>
      <c r="B33" t="s">
        <v>90</v>
      </c>
      <c r="C33" t="s">
        <v>29</v>
      </c>
      <c r="D33">
        <v>26</v>
      </c>
      <c r="E33" t="s">
        <v>24</v>
      </c>
      <c r="F33">
        <v>3</v>
      </c>
      <c r="G33" t="s">
        <v>25</v>
      </c>
      <c r="H33">
        <v>7</v>
      </c>
      <c r="I33">
        <v>7</v>
      </c>
      <c r="J33">
        <v>75</v>
      </c>
      <c r="K33">
        <v>5</v>
      </c>
      <c r="L33">
        <v>11</v>
      </c>
      <c r="M33">
        <v>2</v>
      </c>
      <c r="N33">
        <v>5.25</v>
      </c>
      <c r="O33" t="s">
        <v>26</v>
      </c>
    </row>
    <row r="34" spans="1:15" x14ac:dyDescent="0.25">
      <c r="A34" t="s">
        <v>91</v>
      </c>
      <c r="B34" t="s">
        <v>92</v>
      </c>
      <c r="C34" t="s">
        <v>35</v>
      </c>
      <c r="D34">
        <v>35</v>
      </c>
      <c r="E34" t="s">
        <v>18</v>
      </c>
      <c r="F34">
        <v>9</v>
      </c>
      <c r="G34" t="s">
        <v>19</v>
      </c>
      <c r="H34">
        <v>12</v>
      </c>
      <c r="I34">
        <v>8</v>
      </c>
      <c r="J34">
        <v>88</v>
      </c>
      <c r="K34">
        <v>2</v>
      </c>
      <c r="L34">
        <v>19</v>
      </c>
      <c r="M34">
        <v>4</v>
      </c>
      <c r="N34">
        <v>10.56</v>
      </c>
      <c r="O34" t="s">
        <v>20</v>
      </c>
    </row>
    <row r="35" spans="1:15" x14ac:dyDescent="0.25">
      <c r="A35" t="s">
        <v>93</v>
      </c>
      <c r="B35" t="s">
        <v>94</v>
      </c>
      <c r="C35" t="s">
        <v>17</v>
      </c>
      <c r="D35">
        <v>28</v>
      </c>
      <c r="E35" t="s">
        <v>24</v>
      </c>
      <c r="F35">
        <v>4</v>
      </c>
      <c r="G35" t="s">
        <v>30</v>
      </c>
      <c r="H35">
        <v>8</v>
      </c>
      <c r="I35">
        <v>7</v>
      </c>
      <c r="J35">
        <v>79</v>
      </c>
      <c r="K35">
        <v>4</v>
      </c>
      <c r="L35">
        <v>13</v>
      </c>
      <c r="M35">
        <v>3</v>
      </c>
      <c r="N35">
        <v>6.32</v>
      </c>
      <c r="O35" t="s">
        <v>26</v>
      </c>
    </row>
    <row r="36" spans="1:15" x14ac:dyDescent="0.25">
      <c r="A36" t="s">
        <v>95</v>
      </c>
      <c r="B36" t="s">
        <v>96</v>
      </c>
      <c r="C36" t="s">
        <v>29</v>
      </c>
      <c r="D36">
        <v>36</v>
      </c>
      <c r="E36" t="s">
        <v>18</v>
      </c>
      <c r="F36">
        <v>10</v>
      </c>
      <c r="G36" t="s">
        <v>25</v>
      </c>
      <c r="H36">
        <v>15</v>
      </c>
      <c r="I36">
        <v>9</v>
      </c>
      <c r="J36">
        <v>92</v>
      </c>
      <c r="K36">
        <v>2</v>
      </c>
      <c r="L36">
        <v>23</v>
      </c>
      <c r="M36">
        <v>5</v>
      </c>
      <c r="N36">
        <v>13.8</v>
      </c>
      <c r="O36" t="s">
        <v>20</v>
      </c>
    </row>
    <row r="37" spans="1:15" x14ac:dyDescent="0.25">
      <c r="A37" t="s">
        <v>97</v>
      </c>
      <c r="B37" t="s">
        <v>98</v>
      </c>
      <c r="C37" t="s">
        <v>23</v>
      </c>
      <c r="D37">
        <v>33</v>
      </c>
      <c r="E37" t="s">
        <v>24</v>
      </c>
      <c r="F37">
        <v>8</v>
      </c>
      <c r="G37" t="s">
        <v>19</v>
      </c>
      <c r="H37">
        <v>10</v>
      </c>
      <c r="I37">
        <v>8</v>
      </c>
      <c r="J37">
        <v>84</v>
      </c>
      <c r="K37">
        <v>3</v>
      </c>
      <c r="L37">
        <v>17</v>
      </c>
      <c r="M37">
        <v>4</v>
      </c>
      <c r="N37">
        <v>8.4</v>
      </c>
      <c r="O37" t="s">
        <v>26</v>
      </c>
    </row>
    <row r="38" spans="1:15" x14ac:dyDescent="0.25">
      <c r="A38" t="s">
        <v>99</v>
      </c>
      <c r="B38" t="s">
        <v>100</v>
      </c>
      <c r="C38" t="s">
        <v>35</v>
      </c>
      <c r="D38">
        <v>29</v>
      </c>
      <c r="E38" t="s">
        <v>18</v>
      </c>
      <c r="F38">
        <v>6</v>
      </c>
      <c r="G38" t="s">
        <v>30</v>
      </c>
      <c r="H38">
        <v>9</v>
      </c>
      <c r="I38">
        <v>7</v>
      </c>
      <c r="J38">
        <v>81</v>
      </c>
      <c r="K38">
        <v>4</v>
      </c>
      <c r="L38">
        <v>15</v>
      </c>
      <c r="M38">
        <v>3</v>
      </c>
      <c r="N38">
        <v>7.29</v>
      </c>
      <c r="O38" t="s">
        <v>26</v>
      </c>
    </row>
    <row r="39" spans="1:15" x14ac:dyDescent="0.25">
      <c r="A39" t="s">
        <v>101</v>
      </c>
      <c r="B39" t="s">
        <v>102</v>
      </c>
      <c r="C39" t="s">
        <v>17</v>
      </c>
      <c r="D39">
        <v>27</v>
      </c>
      <c r="E39" t="s">
        <v>24</v>
      </c>
      <c r="F39">
        <v>3</v>
      </c>
      <c r="G39" t="s">
        <v>25</v>
      </c>
      <c r="H39">
        <v>7</v>
      </c>
      <c r="I39">
        <v>7</v>
      </c>
      <c r="J39">
        <v>74</v>
      </c>
      <c r="K39">
        <v>5</v>
      </c>
      <c r="L39">
        <v>10</v>
      </c>
      <c r="M39">
        <v>2</v>
      </c>
      <c r="N39">
        <v>5.18</v>
      </c>
      <c r="O39" t="s">
        <v>72</v>
      </c>
    </row>
    <row r="40" spans="1:15" x14ac:dyDescent="0.25">
      <c r="A40" t="s">
        <v>103</v>
      </c>
      <c r="B40" t="s">
        <v>104</v>
      </c>
      <c r="C40" t="s">
        <v>29</v>
      </c>
      <c r="D40">
        <v>34</v>
      </c>
      <c r="E40" t="s">
        <v>18</v>
      </c>
      <c r="F40">
        <v>8</v>
      </c>
      <c r="G40" t="s">
        <v>19</v>
      </c>
      <c r="H40">
        <v>12</v>
      </c>
      <c r="I40">
        <v>8</v>
      </c>
      <c r="J40">
        <v>87</v>
      </c>
      <c r="K40">
        <v>3</v>
      </c>
      <c r="L40">
        <v>20</v>
      </c>
      <c r="M40">
        <v>4</v>
      </c>
      <c r="N40">
        <v>10.44</v>
      </c>
      <c r="O40" t="s">
        <v>20</v>
      </c>
    </row>
    <row r="41" spans="1:15" x14ac:dyDescent="0.25">
      <c r="A41" t="s">
        <v>105</v>
      </c>
      <c r="B41" t="s">
        <v>106</v>
      </c>
      <c r="C41" t="s">
        <v>23</v>
      </c>
      <c r="D41">
        <v>30</v>
      </c>
      <c r="E41" t="s">
        <v>24</v>
      </c>
      <c r="F41">
        <v>5</v>
      </c>
      <c r="G41" t="s">
        <v>30</v>
      </c>
      <c r="H41">
        <v>9</v>
      </c>
      <c r="I41">
        <v>7</v>
      </c>
      <c r="J41">
        <v>80</v>
      </c>
      <c r="K41">
        <v>4</v>
      </c>
      <c r="L41">
        <v>14</v>
      </c>
      <c r="M41">
        <v>3</v>
      </c>
      <c r="N41">
        <v>7.2</v>
      </c>
      <c r="O41" t="s">
        <v>26</v>
      </c>
    </row>
    <row r="42" spans="1:15" x14ac:dyDescent="0.25">
      <c r="A42" t="s">
        <v>107</v>
      </c>
      <c r="B42" t="s">
        <v>108</v>
      </c>
      <c r="C42" t="s">
        <v>35</v>
      </c>
      <c r="D42">
        <v>32</v>
      </c>
      <c r="E42" t="s">
        <v>18</v>
      </c>
      <c r="F42">
        <v>7</v>
      </c>
      <c r="G42" t="s">
        <v>25</v>
      </c>
      <c r="H42">
        <v>11</v>
      </c>
      <c r="I42">
        <v>8</v>
      </c>
      <c r="J42">
        <v>85</v>
      </c>
      <c r="K42">
        <v>3</v>
      </c>
      <c r="L42">
        <v>18</v>
      </c>
      <c r="M42">
        <v>4</v>
      </c>
      <c r="N42">
        <v>9.35</v>
      </c>
      <c r="O42" t="s">
        <v>26</v>
      </c>
    </row>
    <row r="43" spans="1:15" x14ac:dyDescent="0.25">
      <c r="A43" t="s">
        <v>109</v>
      </c>
      <c r="B43" t="s">
        <v>110</v>
      </c>
      <c r="C43" t="s">
        <v>17</v>
      </c>
      <c r="D43">
        <v>35</v>
      </c>
      <c r="E43" t="s">
        <v>18</v>
      </c>
      <c r="F43">
        <v>9</v>
      </c>
      <c r="G43" t="s">
        <v>19</v>
      </c>
      <c r="H43">
        <v>14</v>
      </c>
      <c r="I43">
        <v>8</v>
      </c>
      <c r="J43">
        <v>91</v>
      </c>
      <c r="K43">
        <v>2</v>
      </c>
      <c r="L43">
        <v>22</v>
      </c>
      <c r="M43">
        <v>5</v>
      </c>
      <c r="N43">
        <v>12.74</v>
      </c>
      <c r="O43" t="s">
        <v>20</v>
      </c>
    </row>
    <row r="44" spans="1:15" x14ac:dyDescent="0.25">
      <c r="A44" t="s">
        <v>111</v>
      </c>
      <c r="B44" t="s">
        <v>112</v>
      </c>
      <c r="C44" t="s">
        <v>29</v>
      </c>
      <c r="D44">
        <v>28</v>
      </c>
      <c r="E44" t="s">
        <v>24</v>
      </c>
      <c r="F44">
        <v>4</v>
      </c>
      <c r="G44" t="s">
        <v>30</v>
      </c>
      <c r="H44">
        <v>8</v>
      </c>
      <c r="I44">
        <v>7</v>
      </c>
      <c r="J44">
        <v>77</v>
      </c>
      <c r="K44">
        <v>5</v>
      </c>
      <c r="L44">
        <v>12</v>
      </c>
      <c r="M44">
        <v>3</v>
      </c>
      <c r="N44">
        <v>6.16</v>
      </c>
      <c r="O44" t="s">
        <v>26</v>
      </c>
    </row>
    <row r="45" spans="1:15" x14ac:dyDescent="0.25">
      <c r="A45" t="s">
        <v>113</v>
      </c>
      <c r="B45" t="s">
        <v>114</v>
      </c>
      <c r="C45" t="s">
        <v>35</v>
      </c>
      <c r="D45">
        <v>31</v>
      </c>
      <c r="E45" t="s">
        <v>18</v>
      </c>
      <c r="F45">
        <v>6</v>
      </c>
      <c r="G45" t="s">
        <v>25</v>
      </c>
      <c r="H45">
        <v>10</v>
      </c>
      <c r="I45">
        <v>7</v>
      </c>
      <c r="J45">
        <v>83</v>
      </c>
      <c r="K45">
        <v>3</v>
      </c>
      <c r="L45">
        <v>16</v>
      </c>
      <c r="M45">
        <v>4</v>
      </c>
      <c r="N45">
        <v>8.3000000000000007</v>
      </c>
      <c r="O45" t="s">
        <v>26</v>
      </c>
    </row>
    <row r="46" spans="1:15" x14ac:dyDescent="0.25">
      <c r="A46" t="s">
        <v>115</v>
      </c>
      <c r="B46" t="s">
        <v>116</v>
      </c>
      <c r="C46" t="s">
        <v>23</v>
      </c>
      <c r="D46">
        <v>29</v>
      </c>
      <c r="E46" t="s">
        <v>24</v>
      </c>
      <c r="F46">
        <v>5</v>
      </c>
      <c r="G46" t="s">
        <v>19</v>
      </c>
      <c r="H46">
        <v>8</v>
      </c>
      <c r="I46">
        <v>7</v>
      </c>
      <c r="J46">
        <v>78</v>
      </c>
      <c r="K46">
        <v>4</v>
      </c>
      <c r="L46">
        <v>13</v>
      </c>
      <c r="M46">
        <v>3</v>
      </c>
      <c r="N46">
        <v>6.24</v>
      </c>
      <c r="O46" t="s">
        <v>26</v>
      </c>
    </row>
    <row r="47" spans="1:15" x14ac:dyDescent="0.25">
      <c r="A47" t="s">
        <v>117</v>
      </c>
      <c r="B47" t="s">
        <v>118</v>
      </c>
      <c r="C47" t="s">
        <v>17</v>
      </c>
      <c r="D47">
        <v>37</v>
      </c>
      <c r="E47" t="s">
        <v>18</v>
      </c>
      <c r="F47">
        <v>11</v>
      </c>
      <c r="G47" t="s">
        <v>25</v>
      </c>
      <c r="H47">
        <v>16</v>
      </c>
      <c r="I47">
        <v>9</v>
      </c>
      <c r="J47">
        <v>93</v>
      </c>
      <c r="K47">
        <v>2</v>
      </c>
      <c r="L47">
        <v>24</v>
      </c>
      <c r="M47">
        <v>5</v>
      </c>
      <c r="N47">
        <v>14.88</v>
      </c>
      <c r="O47" t="s">
        <v>20</v>
      </c>
    </row>
    <row r="48" spans="1:15" x14ac:dyDescent="0.25">
      <c r="A48" t="s">
        <v>119</v>
      </c>
      <c r="B48" t="s">
        <v>120</v>
      </c>
      <c r="C48" t="s">
        <v>29</v>
      </c>
      <c r="D48">
        <v>27</v>
      </c>
      <c r="E48" t="s">
        <v>24</v>
      </c>
      <c r="F48">
        <v>3</v>
      </c>
      <c r="G48" t="s">
        <v>30</v>
      </c>
      <c r="H48">
        <v>7</v>
      </c>
      <c r="I48">
        <v>7</v>
      </c>
      <c r="J48">
        <v>74</v>
      </c>
      <c r="K48">
        <v>6</v>
      </c>
      <c r="L48">
        <v>11</v>
      </c>
      <c r="M48">
        <v>2</v>
      </c>
      <c r="N48">
        <v>5.18</v>
      </c>
      <c r="O48" t="s">
        <v>72</v>
      </c>
    </row>
    <row r="49" spans="1:15" x14ac:dyDescent="0.25">
      <c r="A49" t="s">
        <v>121</v>
      </c>
      <c r="B49" t="s">
        <v>122</v>
      </c>
      <c r="C49" t="s">
        <v>35</v>
      </c>
      <c r="D49">
        <v>34</v>
      </c>
      <c r="E49" t="s">
        <v>18</v>
      </c>
      <c r="F49">
        <v>8</v>
      </c>
      <c r="G49" t="s">
        <v>19</v>
      </c>
      <c r="H49">
        <v>12</v>
      </c>
      <c r="I49">
        <v>8</v>
      </c>
      <c r="J49">
        <v>88</v>
      </c>
      <c r="K49">
        <v>3</v>
      </c>
      <c r="L49">
        <v>19</v>
      </c>
      <c r="M49">
        <v>4</v>
      </c>
      <c r="N49">
        <v>10.56</v>
      </c>
      <c r="O49" t="s">
        <v>20</v>
      </c>
    </row>
    <row r="50" spans="1:15" x14ac:dyDescent="0.25">
      <c r="A50" t="s">
        <v>123</v>
      </c>
      <c r="B50" t="s">
        <v>124</v>
      </c>
      <c r="C50" t="s">
        <v>23</v>
      </c>
      <c r="D50">
        <v>30</v>
      </c>
      <c r="E50" t="s">
        <v>24</v>
      </c>
      <c r="F50">
        <v>6</v>
      </c>
      <c r="G50" t="s">
        <v>25</v>
      </c>
      <c r="H50">
        <v>9</v>
      </c>
      <c r="I50">
        <v>7</v>
      </c>
      <c r="J50">
        <v>81</v>
      </c>
      <c r="K50">
        <v>4</v>
      </c>
      <c r="L50">
        <v>15</v>
      </c>
      <c r="M50">
        <v>3</v>
      </c>
      <c r="N50">
        <v>7.29</v>
      </c>
      <c r="O50" t="s">
        <v>26</v>
      </c>
    </row>
    <row r="51" spans="1:15" x14ac:dyDescent="0.25">
      <c r="A51" t="s">
        <v>125</v>
      </c>
      <c r="B51" t="s">
        <v>126</v>
      </c>
      <c r="C51" t="s">
        <v>17</v>
      </c>
      <c r="D51">
        <v>33</v>
      </c>
      <c r="E51" t="s">
        <v>18</v>
      </c>
      <c r="F51">
        <v>7</v>
      </c>
      <c r="G51" t="s">
        <v>30</v>
      </c>
      <c r="H51">
        <v>11</v>
      </c>
      <c r="I51">
        <v>8</v>
      </c>
      <c r="J51">
        <v>86</v>
      </c>
      <c r="K51">
        <v>3</v>
      </c>
      <c r="L51">
        <v>18</v>
      </c>
      <c r="M51">
        <v>4</v>
      </c>
      <c r="N51">
        <v>9.4600000000000009</v>
      </c>
      <c r="O51" t="s">
        <v>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000A1-081D-4B62-8F85-A81443A4315A}">
  <dimension ref="A1"/>
  <sheetViews>
    <sheetView showGridLines="0" tabSelected="1" zoomScale="85" workbookViewId="0">
      <selection activeCell="R5" sqref="R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E9DC31-7C70-4E14-81F7-985170576C4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Sheet4</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zidhan Nn</dc:creator>
  <cp:lastModifiedBy>zidhan Nn</cp:lastModifiedBy>
  <dcterms:created xsi:type="dcterms:W3CDTF">2026-03-10T16:15:09Z</dcterms:created>
  <dcterms:modified xsi:type="dcterms:W3CDTF">2026-03-11T07:01:08Z</dcterms:modified>
</cp:coreProperties>
</file>